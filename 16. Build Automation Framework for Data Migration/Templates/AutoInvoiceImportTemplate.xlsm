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4000" windowHeight="8232" tabRatio="768" activeTab="1"/>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functionGroups builtInGroupCount="18"/>
  <definedNames>
    <definedName name="CHAR">RA_INTERFACE_LINES_ALL!$KK$6</definedName>
  </definedNames>
  <calcPr calcId="162913"/>
</workbook>
</file>

<file path=xl/calcChain.xml><?xml version="1.0" encoding="utf-8"?>
<calcChain xmlns="http://schemas.openxmlformats.org/spreadsheetml/2006/main">
  <c r="A5" i="5" l="1"/>
  <c r="A5" i="4"/>
  <c r="A5" i="3"/>
  <c r="A5" i="2"/>
  <c r="AG40" i="2" l="1"/>
  <c r="AG39" i="2"/>
  <c r="AG38" i="2"/>
</calcChain>
</file>

<file path=xl/comments1.xml><?xml version="1.0" encoding="utf-8"?>
<comments xmlns="http://schemas.openxmlformats.org/spreadsheetml/2006/main">
  <authors>
    <author>Author</author>
  </authors>
  <commentList>
    <comment ref="A4" authorId="0" shapeId="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text>
        <r>
          <rPr>
            <sz val="9"/>
            <color indexed="81"/>
            <rFont val="Tahoma"/>
            <family val="2"/>
          </rPr>
          <t>BU_NAME
VARCHAR2 (240)
Indicates the name of the business unit associated with the row.</t>
        </r>
      </text>
    </comment>
    <comment ref="C4" authorId="0" shapeId="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text>
        <r>
          <rPr>
            <sz val="9"/>
            <color indexed="81"/>
            <rFont val="Tahoma"/>
            <family val="2"/>
          </rPr>
          <t>TRX_DATE
DATE
Identifies the transaction date.
Provide a value in the format YYYY/MM/DD.</t>
        </r>
      </text>
    </comment>
    <comment ref="G4" authorId="0" shapeId="0">
      <text>
        <r>
          <rPr>
            <sz val="9"/>
            <color indexed="81"/>
            <rFont val="Tahoma"/>
            <family val="2"/>
          </rPr>
          <t>GL_DATE
DATE
Identifies the accounting date of the transaction.
Provide a value in the format YYYY/MM/DD.</t>
        </r>
      </text>
    </comment>
    <comment ref="H4" authorId="0" shapeId="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text>
        <r>
          <rPr>
            <sz val="9"/>
            <color indexed="81"/>
            <rFont val="Tahoma"/>
            <family val="2"/>
          </rPr>
          <t>ORIG_SYSTEM_SHIP_ADDRESS_REF
VARCHAR2(240)
Value used to uniquely identify the customer account’s ship-to address from the feeder system.</t>
        </r>
      </text>
    </comment>
    <comment ref="Q4" authorId="0" shapeId="0">
      <text>
        <r>
          <rPr>
            <sz val="9"/>
            <color indexed="81"/>
            <rFont val="Tahoma"/>
            <family val="2"/>
          </rPr>
          <t>ORIG_SYSTEM_SHIP_CONTACT_REF
VARCHAR2(240)
Value used to uniquely identify the customer account’s ship-to contact from the feeder system.</t>
        </r>
      </text>
    </comment>
    <comment ref="R4" authorId="0" shapeId="0">
      <text>
        <r>
          <rPr>
            <sz val="9"/>
            <color indexed="81"/>
            <rFont val="Tahoma"/>
            <family val="2"/>
          </rPr>
          <t>ORIG_SYS_SOLD_PARTY_REF
VARCHAR2(240)
Identifies the sold-to customer from the feeder system.</t>
        </r>
      </text>
    </comment>
    <comment ref="S4" authorId="0" shapeId="0">
      <text>
        <r>
          <rPr>
            <sz val="9"/>
            <color indexed="81"/>
            <rFont val="Tahoma"/>
            <family val="2"/>
          </rPr>
          <t>ORIG_SYSTEM_SOLD_CUSTOMER_REF
VARCHAR2(240)
Identifies the sold-to customer account from the feeder system.</t>
        </r>
      </text>
    </comment>
    <comment ref="T4" authorId="0" shapeId="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text>
        <r>
          <rPr>
            <sz val="9"/>
            <color indexed="81"/>
            <rFont val="Tahoma"/>
            <family val="2"/>
          </rPr>
          <t>LINE_TYPE
VARCHAR2(20)
Type of transaction line. Valid values are LINE, TAX, FREIGHT, and CHARGES.</t>
        </r>
      </text>
    </comment>
    <comment ref="AB4" authorId="0" shapeId="0">
      <text>
        <r>
          <rPr>
            <sz val="9"/>
            <color indexed="81"/>
            <rFont val="Tahoma"/>
            <family val="2"/>
          </rPr>
          <t>DESCRIPTION
VARCHAR2(240)
Description of the transaction line.</t>
        </r>
      </text>
    </comment>
    <comment ref="AC4" authorId="0" shapeId="0">
      <text>
        <r>
          <rPr>
            <sz val="9"/>
            <color indexed="81"/>
            <rFont val="Tahoma"/>
            <family val="2"/>
          </rPr>
          <t>CURRENCY_CODE
VARCHAR2(15)
Currency code of the currency on the transaction line.</t>
        </r>
      </text>
    </comment>
    <comment ref="AD4" authorId="0" shapeId="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text>
        <r>
          <rPr>
            <sz val="9"/>
            <color indexed="81"/>
            <rFont val="Tahoma"/>
            <family val="2"/>
          </rPr>
          <t>CONVERSION_DATE 
DATE
Date used to calculate the currency conversion rate.
Provide a value in the format YYYY/MM/DD.</t>
        </r>
      </text>
    </comment>
    <comment ref="AF4" authorId="0" shapeId="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text>
        <r>
          <rPr>
            <sz val="9"/>
            <color indexed="81"/>
            <rFont val="Tahoma"/>
            <family val="2"/>
          </rPr>
          <t>AMOUNT
NUMBER
Amount of this transaction line.
Do not use thousand separators. Only use '.' or ',' as the decimal character.</t>
        </r>
      </text>
    </comment>
    <comment ref="AH4" authorId="0" shapeId="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text>
        <r>
          <rPr>
            <sz val="9"/>
            <color indexed="81"/>
            <rFont val="Tahoma"/>
            <family val="2"/>
          </rPr>
          <t>UNIT_STANDARD_PRICE
NUMBER
Sales item standard price per unit in inventory.
Do not use thousand separators. Only use '.' or ',' as the decimal character.</t>
        </r>
      </text>
    </comment>
    <comment ref="AL4" authorId="0" shapeId="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text>
        <r>
          <rPr>
            <sz val="9"/>
            <color indexed="81"/>
            <rFont val="Tahoma"/>
            <family val="2"/>
          </rPr>
          <t>TAX_CODE
VARCHAR2(50)
Tax classification code assigned to the transaction line.</t>
        </r>
      </text>
    </comment>
    <comment ref="BD4" authorId="0" shapeId="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text>
        <r>
          <rPr>
            <sz val="9"/>
            <color indexed="81"/>
            <rFont val="Tahoma"/>
            <family val="2"/>
          </rPr>
          <t>SALES_ORDER
VARCHAR2(50)
Sales order number.</t>
        </r>
      </text>
    </comment>
    <comment ref="BG4" authorId="0" shapeId="0">
      <text>
        <r>
          <rPr>
            <sz val="9"/>
            <color indexed="81"/>
            <rFont val="Tahoma"/>
            <family val="2"/>
          </rPr>
          <t>SALES_ORDER_DATE
DATE
Date of the Sales Order.
Provide a value in the format YYYY/MM/DD.</t>
        </r>
      </text>
    </comment>
    <comment ref="BH4" authorId="0" shapeId="0">
      <text>
        <r>
          <rPr>
            <sz val="9"/>
            <color indexed="81"/>
            <rFont val="Tahoma"/>
            <family val="2"/>
          </rPr>
          <t>SHIP_DATE_ACTUAL
DATE 
Shipment date.
Provide a value in the format YYYY/MM/DD.</t>
        </r>
      </text>
    </comment>
    <comment ref="BI4" authorId="0" shapeId="0">
      <text>
        <r>
          <rPr>
            <sz val="9"/>
            <color indexed="81"/>
            <rFont val="Tahoma"/>
            <family val="2"/>
          </rPr>
          <t xml:space="preserve">WAREHOUSE_CODE 
VARCHAR2(18)
Ship from inventory organization code. </t>
        </r>
      </text>
    </comment>
    <comment ref="BJ4" authorId="0" shapeId="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text>
        <r>
          <rPr>
            <sz val="9"/>
            <color indexed="81"/>
            <rFont val="Tahoma"/>
            <family val="2"/>
          </rPr>
          <t>REASON_CODE_MEANING
VARCHAR2(80)
Credit memo reason code meaning.</t>
        </r>
      </text>
    </comment>
    <comment ref="BR4" authorId="0" shapeId="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text>
        <r>
          <rPr>
            <sz val="9"/>
            <color indexed="81"/>
            <rFont val="Tahoma"/>
            <family val="2"/>
          </rPr>
          <t>TRX_BUSINESS_CATEGORY
VARCHAR2(240)
Code used to classify business transactions for tax purposes.</t>
        </r>
      </text>
    </comment>
    <comment ref="BT4" authorId="0" shapeId="0">
      <text>
        <r>
          <rPr>
            <sz val="9"/>
            <color indexed="81"/>
            <rFont val="Tahoma"/>
            <family val="2"/>
          </rPr>
          <t>PRODUCT_FISC_CLASSIFICATION
VARCHAR2(240)
Code used to classify products that have a tax requirement for tax determination or tax reporting purposes.</t>
        </r>
      </text>
    </comment>
    <comment ref="BU4" authorId="0" shapeId="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text>
        <r>
          <rPr>
            <sz val="9"/>
            <color indexed="81"/>
            <rFont val="Tahoma"/>
            <family val="2"/>
          </rPr>
          <t>PRODUCT_TYPE
VARCHAR2(240)
Identifies a transaction line item for tax purposes.
Valid values are Goods and Services.</t>
        </r>
      </text>
    </comment>
    <comment ref="BW4" authorId="0" shapeId="0">
      <text>
        <r>
          <rPr>
            <sz val="9"/>
            <color indexed="81"/>
            <rFont val="Tahoma"/>
            <family val="2"/>
          </rPr>
          <t>LINE_INTENDED_USE
VARCHAR2(240)
Code used to classify items when the intended use of the item is a factor in tax determination.</t>
        </r>
      </text>
    </comment>
    <comment ref="BX4" authorId="0" shapeId="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text>
        <r>
          <rPr>
            <sz val="9"/>
            <color indexed="81"/>
            <rFont val="Tahoma"/>
            <family val="2"/>
          </rPr>
          <t>DOCUMENT_SUB_TYPE
VARCHAR2(240)
In certain countries, a tax or governmental authority defines and classifies document types for reporting purposes.</t>
        </r>
      </text>
    </comment>
    <comment ref="BZ4" authorId="0" shapeId="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text>
        <r>
          <rPr>
            <sz val="9"/>
            <color indexed="81"/>
            <rFont val="Tahoma"/>
            <family val="2"/>
          </rPr>
          <t>USER_DEFINED_FISC_CLASS
VARCHAR2(30)
Code used to classify any tax requirements that you cannot define using the existing fiscal classification types.</t>
        </r>
      </text>
    </comment>
    <comment ref="CB4" authorId="0" shapeId="0">
      <text>
        <r>
          <rPr>
            <sz val="9"/>
            <color indexed="81"/>
            <rFont val="Tahoma"/>
            <family val="2"/>
          </rPr>
          <t>TAX_INVOICE_NUMBER
VARCHAR2(150)
Number on a fiscal document generated during the shipment of goods.</t>
        </r>
      </text>
    </comment>
    <comment ref="CC4" authorId="0" shapeId="0">
      <text>
        <r>
          <rPr>
            <sz val="9"/>
            <color indexed="81"/>
            <rFont val="Tahoma"/>
            <family val="2"/>
          </rPr>
          <t>TAX_INVOICE_DATE
DATE
Date on the fiscal document generated during the shipment of goods.
Provide a value in the format YYYY/MM/DD.</t>
        </r>
      </text>
    </comment>
    <comment ref="CD4" authorId="0" shapeId="0">
      <text>
        <r>
          <rPr>
            <sz val="9"/>
            <color indexed="81"/>
            <rFont val="Tahoma"/>
            <family val="2"/>
          </rPr>
          <t>TAX_REGIME_CODE
VARCHAR2(30)
Code that represents a high-level entity for defining a common set of tax rules for one or more taxes with the same tax requirement.</t>
        </r>
      </text>
    </comment>
    <comment ref="CE4" authorId="0" shapeId="0">
      <text>
        <r>
          <rPr>
            <sz val="9"/>
            <color indexed="81"/>
            <rFont val="Tahoma"/>
            <family val="2"/>
          </rPr>
          <t>TAX
VARCHAR2(30)
Code that represents a charge imposed by a fiscal or tax authority within a tax regime.</t>
        </r>
      </text>
    </comment>
    <comment ref="CF4" authorId="0" shapeId="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text>
        <r>
          <rPr>
            <sz val="9"/>
            <color indexed="81"/>
            <rFont val="Tahoma"/>
            <family val="2"/>
          </rPr>
          <t>TAX_JURISDICTION_CODE
VARCHAR2(30)
Code that represents a geographic area where taxes are levied. Defined within the scope of a tax and tax regime.</t>
        </r>
      </text>
    </comment>
    <comment ref="CI4" authorId="0" shapeId="0">
      <text>
        <r>
          <rPr>
            <sz val="9"/>
            <color indexed="81"/>
            <rFont val="Tahoma"/>
            <family val="2"/>
          </rPr>
          <t>FIRST_PTY_REG_NUM 
VARCHAR2(60)
First party tax registration number of the transaction.</t>
        </r>
      </text>
    </comment>
    <comment ref="CJ4" authorId="0" shapeId="0">
      <text>
        <r>
          <rPr>
            <sz val="9"/>
            <color indexed="81"/>
            <rFont val="Tahoma"/>
            <family val="2"/>
          </rPr>
          <t>THIRD_PTY_REG_NUM
VARCHAR2(60)
Third party tax registration number of the transaction.</t>
        </r>
      </text>
    </comment>
    <comment ref="CK4" authorId="0" shapeId="0">
      <text>
        <r>
          <rPr>
            <sz val="9"/>
            <color indexed="81"/>
            <rFont val="Tahoma"/>
            <family val="2"/>
          </rPr>
          <t>FINAL_DISCHARGE_LOCATION_CODE
VARCHAR (60)
Final destination location code for the purchases made by the customer.</t>
        </r>
      </text>
    </comment>
    <comment ref="CL4" authorId="0" shapeId="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text>
        <r>
          <rPr>
            <sz val="9"/>
            <color indexed="81"/>
            <rFont val="Tahoma"/>
            <family val="2"/>
          </rPr>
          <t>TAXABLE_FLAG
VARCHAR2(1)
Determines whether the current line is taxable. Valid values are Y, N, and NULL.</t>
        </r>
      </text>
    </comment>
    <comment ref="CN4" authorId="0" shapeId="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text>
        <r>
          <rPr>
            <sz val="9"/>
            <color indexed="81"/>
            <rFont val="Tahoma"/>
            <family val="2"/>
          </rPr>
          <t>TAX_EXEMPT_REASON_CODE_MEANING
VARCHAR2(80)
Text description of the code entered the TAX_EXEMPT_REASON_CODE column.</t>
        </r>
      </text>
    </comment>
    <comment ref="CQ4" authorId="0" shapeId="0">
      <text>
        <r>
          <rPr>
            <sz val="9"/>
            <color indexed="81"/>
            <rFont val="Tahoma"/>
            <family val="2"/>
          </rPr>
          <t>TAX_EXEMPT_NUMBER
VARCHAR2(80)
Number of the tax exemption certificate for line items that have the TAX_EXEMPT_FLAG set to E (Exempt).</t>
        </r>
      </text>
    </comment>
    <comment ref="CR4" authorId="0" shapeId="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text>
        <r>
          <rPr>
            <sz val="9"/>
            <color indexed="81"/>
            <rFont val="Tahoma"/>
            <family val="2"/>
          </rPr>
          <t>REASON_CODE
VARCHAR2(30)
Transaction line reason code.</t>
        </r>
      </text>
    </comment>
    <comment ref="CW4" authorId="0" shapeId="0">
      <text>
        <r>
          <rPr>
            <sz val="9"/>
            <color indexed="81"/>
            <rFont val="Tahoma"/>
            <family val="2"/>
          </rPr>
          <t>TAX_RATE
NUMBER
Tax rate for this tax line.
Do not use thousand separators. Only use '.' or ',' as the decimal character.</t>
        </r>
      </text>
    </comment>
    <comment ref="CX4" authorId="0" shapeId="0">
      <text>
        <r>
          <rPr>
            <sz val="9"/>
            <color indexed="81"/>
            <rFont val="Tahoma"/>
            <family val="2"/>
          </rPr>
          <t>FOB_POINT
VARCHAR2(30).
Free on board point, which is the location at which the ownership title of the goods is transferred from the seller to the buyer.</t>
        </r>
      </text>
    </comment>
    <comment ref="CY4" authorId="0" shapeId="0">
      <text>
        <r>
          <rPr>
            <sz val="9"/>
            <color indexed="81"/>
            <rFont val="Tahoma"/>
            <family val="2"/>
          </rPr>
          <t>SHIP_VIA
VARCHAR2(25)
Ship via code.</t>
        </r>
      </text>
    </comment>
    <comment ref="CZ4" authorId="0" shapeId="0">
      <text>
        <r>
          <rPr>
            <sz val="9"/>
            <color indexed="81"/>
            <rFont val="Tahoma"/>
            <family val="2"/>
          </rPr>
          <t>WAYBILL_NUMBER
VARCHAR2(50)
Waybill number.</t>
        </r>
      </text>
    </comment>
    <comment ref="DA4" authorId="0" shapeId="0">
      <text>
        <r>
          <rPr>
            <sz val="9"/>
            <color indexed="81"/>
            <rFont val="Tahoma"/>
            <family val="2"/>
          </rPr>
          <t>SALES_ORDER_LINE
VARCHAR2(30)
Sales order line number for this transaction line.</t>
        </r>
      </text>
    </comment>
    <comment ref="DB4" authorId="0" shapeId="0">
      <text>
        <r>
          <rPr>
            <sz val="9"/>
            <color indexed="81"/>
            <rFont val="Tahoma"/>
            <family val="2"/>
          </rPr>
          <t>SALES_ORDER_SOURCE
VARCHAR2(50)
Source of the sales order.</t>
        </r>
      </text>
    </comment>
    <comment ref="DC4" authorId="0" shapeId="0">
      <text>
        <r>
          <rPr>
            <sz val="9"/>
            <color indexed="81"/>
            <rFont val="Tahoma"/>
            <family val="2"/>
          </rPr>
          <t>SALES_ORDER_REVISION
NUMBER
Sales order revision number.</t>
        </r>
      </text>
    </comment>
    <comment ref="DD4" authorId="0" shapeId="0">
      <text>
        <r>
          <rPr>
            <sz val="9"/>
            <color indexed="81"/>
            <rFont val="Tahoma"/>
            <family val="2"/>
          </rPr>
          <t>PURCHASE_ORDER
VARCHAR2(50)
Purchase order number for this transaction.</t>
        </r>
      </text>
    </comment>
    <comment ref="DE4" authorId="0" shapeId="0">
      <text>
        <r>
          <rPr>
            <sz val="9"/>
            <color indexed="81"/>
            <rFont val="Tahoma"/>
            <family val="2"/>
          </rPr>
          <t>PURCHASE_ORDER_REVISION
VARCHAR2(50)
Purchase order revision number.</t>
        </r>
      </text>
    </comment>
    <comment ref="DF4" authorId="0" shapeId="0">
      <text>
        <r>
          <rPr>
            <sz val="9"/>
            <color indexed="81"/>
            <rFont val="Tahoma"/>
            <family val="2"/>
          </rPr>
          <t>PURCHASE_ORDER_DATE
DATE
Date of the purchase order.
Provide a value in the format YYYY/MM/DD.</t>
        </r>
      </text>
    </comment>
    <comment ref="DG4" authorId="0" shapeId="0">
      <text>
        <r>
          <rPr>
            <sz val="9"/>
            <color indexed="81"/>
            <rFont val="Tahoma"/>
            <family val="2"/>
          </rPr>
          <t>AGREEMENT_NAME
VARCHAR2(30)
Name of the customer agreements.</t>
        </r>
      </text>
    </comment>
    <comment ref="DH4" authorId="0" shapeId="0">
      <text>
        <r>
          <rPr>
            <sz val="9"/>
            <color indexed="81"/>
            <rFont val="Tahoma"/>
            <family val="2"/>
          </rPr>
          <t>MEMO_LINE_NAME
VARCHAR2(50)
Name of the standard memo line.</t>
        </r>
      </text>
    </comment>
    <comment ref="DI4" authorId="0" shapeId="0">
      <text>
        <r>
          <rPr>
            <sz val="9"/>
            <color indexed="81"/>
            <rFont val="Tahoma"/>
            <family val="2"/>
          </rPr>
          <t>DOCUMENT_NUMBER
NUMBER (18)
Document number of the transaction.</t>
        </r>
      </text>
    </comment>
    <comment ref="DJ4" authorId="0" shapeId="0">
      <text>
        <r>
          <rPr>
            <sz val="9"/>
            <color indexed="81"/>
            <rFont val="Tahoma"/>
            <family val="2"/>
          </rPr>
          <t>ORIG_SYSTEM_BATCH_NAME
VARCHAR2(40)
Original batch identifier from the source system.</t>
        </r>
      </text>
    </comment>
    <comment ref="DK4" authorId="0" shapeId="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text>
        <r>
          <rPr>
            <sz val="9"/>
            <color indexed="81"/>
            <rFont val="Tahoma"/>
            <family val="2"/>
          </rPr>
          <t>LINK_TO_PARENTLINE_CONTEXT
VARCHAR2(240)
This column is not used. Do not provide a value for this column.
Link to parent line to get the contingency information.</t>
        </r>
      </text>
    </comment>
    <comment ref="ER4" authorId="0" shapeId="0">
      <text>
        <r>
          <rPr>
            <sz val="9"/>
            <color indexed="81"/>
            <rFont val="Tahoma"/>
            <family val="2"/>
          </rPr>
          <t>LINK_TO_PARENTLINE_ATTRIBUTE1
VARCHAR2(30)
This column is not used. Do not provide a value for this column.
Descriptive Flexfield segment.</t>
        </r>
      </text>
    </comment>
    <comment ref="ES4" authorId="0" shapeId="0">
      <text>
        <r>
          <rPr>
            <sz val="9"/>
            <color indexed="81"/>
            <rFont val="Tahoma"/>
            <family val="2"/>
          </rPr>
          <t>LINK_TO_PARENTLINE_ATTRIBUTE2
VARCHAR2(30)
This column is not used. Do not provide a value for this column.
Descriptive Flexfield segment.</t>
        </r>
      </text>
    </comment>
    <comment ref="ET4" authorId="0" shapeId="0">
      <text>
        <r>
          <rPr>
            <sz val="9"/>
            <color indexed="81"/>
            <rFont val="Tahoma"/>
            <family val="2"/>
          </rPr>
          <t>LINK_TO_PARENTLINE_ATTRIBUTE3
VARCHAR2(30)
This column is not used. Do not provide a value for this column.
Descriptive Flexfield segment.</t>
        </r>
      </text>
    </comment>
    <comment ref="EU4" authorId="0" shapeId="0">
      <text>
        <r>
          <rPr>
            <sz val="9"/>
            <color indexed="81"/>
            <rFont val="Tahoma"/>
            <family val="2"/>
          </rPr>
          <t>LINK_TO_PARENTLINE_ATTRIBUTE4
VARCHAR2(30)
This column is not used. Do not provide a value for this column.
Descriptive Flexfield segment.</t>
        </r>
      </text>
    </comment>
    <comment ref="EV4" authorId="0" shapeId="0">
      <text>
        <r>
          <rPr>
            <sz val="9"/>
            <color indexed="81"/>
            <rFont val="Tahoma"/>
            <family val="2"/>
          </rPr>
          <t>LINK_TO_PARENTLINE_ATTRIBUTE5
VARCHAR2(30)
This column is not used. Do not provide a value for this column.
Descriptive Flexfield segment.</t>
        </r>
      </text>
    </comment>
    <comment ref="EW4" authorId="0" shapeId="0">
      <text>
        <r>
          <rPr>
            <sz val="9"/>
            <color indexed="81"/>
            <rFont val="Tahoma"/>
            <family val="2"/>
          </rPr>
          <t>LINK_TO_PARENTLINE_ATTRIBUTE6
VARCHAR2(30)
This column is not used. Do not provide a value for this column.
Descriptive Flexfield segment.</t>
        </r>
      </text>
    </comment>
    <comment ref="EX4" authorId="0" shapeId="0">
      <text>
        <r>
          <rPr>
            <sz val="9"/>
            <color indexed="81"/>
            <rFont val="Tahoma"/>
            <family val="2"/>
          </rPr>
          <t>LINK_TO_PARENTLINE_ATTRIBUTE7
VARCHAR2(30)
This column is not used. Do not provide a value for this column.
Descriptive Flexfield segment.</t>
        </r>
      </text>
    </comment>
    <comment ref="EY4" authorId="0" shapeId="0">
      <text>
        <r>
          <rPr>
            <sz val="9"/>
            <color indexed="81"/>
            <rFont val="Tahoma"/>
            <family val="2"/>
          </rPr>
          <t>LINK_TO_PARENTLINE_ATTRIBUTE8
VARCHAR2(30)
This column is not used. Do not provide a value for this column.
Descriptive Flexfield segment.</t>
        </r>
      </text>
    </comment>
    <comment ref="EZ4" authorId="0" shapeId="0">
      <text>
        <r>
          <rPr>
            <sz val="9"/>
            <color indexed="81"/>
            <rFont val="Tahoma"/>
            <family val="2"/>
          </rPr>
          <t>LINK_TO_PARENTLINE_ATTRIBUTE9
VARCHAR2(30)
This column is not used. Do not provide a value for this column.
Descriptive Flexfield segment.</t>
        </r>
      </text>
    </comment>
    <comment ref="FA4" authorId="0" shapeId="0">
      <text>
        <r>
          <rPr>
            <sz val="9"/>
            <color indexed="81"/>
            <rFont val="Tahoma"/>
            <family val="2"/>
          </rPr>
          <t>LINK_TO_PARENTLINE_ATTRIBUTE10
VARCHAR2(30)
This column is not used. Do not provide a value for this column.
Descriptive Flexfield segment.</t>
        </r>
      </text>
    </comment>
    <comment ref="FB4" authorId="0" shapeId="0">
      <text>
        <r>
          <rPr>
            <sz val="9"/>
            <color indexed="81"/>
            <rFont val="Tahoma"/>
            <family val="2"/>
          </rPr>
          <t>LINK_TO_PARENTLINE_ATTRIBUTE11
VARCHAR2(30)
This column is not used. Do not provide a value for this column.
Descriptive Flexfield segment.</t>
        </r>
      </text>
    </comment>
    <comment ref="FC4" authorId="0" shapeId="0">
      <text>
        <r>
          <rPr>
            <sz val="9"/>
            <color indexed="81"/>
            <rFont val="Tahoma"/>
            <family val="2"/>
          </rPr>
          <t>LINK_TO_PARENTLINE_ATTRIBUTE12
VARCHAR2(30)
This column is not used. Do not provide a value for this column.
Descriptive Flexfield segment.</t>
        </r>
      </text>
    </comment>
    <comment ref="FD4" authorId="0" shapeId="0">
      <text>
        <r>
          <rPr>
            <sz val="9"/>
            <color indexed="81"/>
            <rFont val="Tahoma"/>
            <family val="2"/>
          </rPr>
          <t>LINK_TO_PARENTLINE_ATTRIBUTE13
VARCHAR2(30)
This column is not used. Do not provide a value for this column.
Descriptive Flexfield segment.</t>
        </r>
      </text>
    </comment>
    <comment ref="FE4" authorId="0" shapeId="0">
      <text>
        <r>
          <rPr>
            <sz val="9"/>
            <color indexed="81"/>
            <rFont val="Tahoma"/>
            <family val="2"/>
          </rPr>
          <t>LINK_TO_PARENTLINE_ATTRIBUTE14
VARCHAR2(30)
This column is not used. Do not provide a value for this column.
Descriptive Flexfield segment.</t>
        </r>
      </text>
    </comment>
    <comment ref="FF4" authorId="0" shapeId="0">
      <text>
        <r>
          <rPr>
            <sz val="9"/>
            <color indexed="81"/>
            <rFont val="Tahoma"/>
            <family val="2"/>
          </rPr>
          <t>LINK_TO_PARENTLINE_ATTRIBUTE15
VARCHAR2(30)
This column is not used. Do not provide a value for this column.
Descriptive Flexfield segment.</t>
        </r>
      </text>
    </comment>
    <comment ref="FG4" authorId="0" shapeId="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text>
        <r>
          <rPr>
            <sz val="9"/>
            <color indexed="81"/>
            <rFont val="Tahoma"/>
            <family val="2"/>
          </rPr>
          <t>PRINTING_OPTION
VARCHAR2(20)
Indicates whether the transaction can be printed.
Valid values are:
N: Transaction cannot be printed.
PRI: Transaction can be printed.</t>
        </r>
      </text>
    </comment>
    <comment ref="FI4" authorId="0" shapeId="0">
      <text>
        <r>
          <rPr>
            <sz val="9"/>
            <color indexed="81"/>
            <rFont val="Tahoma"/>
            <family val="2"/>
          </rPr>
          <t>RELATED_BATCH_SOURCE_NAME
VARCHAR2(50)
The name of the batch source of the document to which this transaction is related.</t>
        </r>
      </text>
    </comment>
    <comment ref="FJ4" authorId="0" shapeId="0">
      <text>
        <r>
          <rPr>
            <sz val="9"/>
            <color indexed="81"/>
            <rFont val="Tahoma"/>
            <family val="2"/>
          </rPr>
          <t>RELATED_TRX_NUMBER
VARCHAR2(20)
Document number to which this transaction is related.</t>
        </r>
      </text>
    </comment>
    <comment ref="FK4" authorId="0" shapeId="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text>
        <r>
          <rPr>
            <sz val="9"/>
            <color indexed="81"/>
            <rFont val="Tahoma"/>
            <family val="2"/>
          </rPr>
          <t>CUSTOMER_BANK_ACCOUNT_NAME
VARCHAR2(80)
Name of the bill-to customer bank account.</t>
        </r>
      </text>
    </comment>
    <comment ref="GF4" authorId="0" shapeId="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text>
        <r>
          <rPr>
            <sz val="9"/>
            <color indexed="81"/>
            <rFont val="Tahoma"/>
            <family val="2"/>
          </rPr>
          <t>PAYMENT_SERVER_ORDER_NUM
VARCHAR2(80)
Number that indicates the credit card payment that was authorized by Oracle Payment Server.</t>
        </r>
      </text>
    </comment>
    <comment ref="GH4" authorId="0" shapeId="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text>
        <r>
          <rPr>
            <sz val="9"/>
            <color indexed="81"/>
            <rFont val="Tahoma"/>
            <family val="2"/>
          </rPr>
          <t>APPROVAL_CODE
VARCHAR2(80)
Payment approval code from the credit card issuer.</t>
        </r>
      </text>
    </comment>
    <comment ref="GJ4" authorId="0" shapeId="0">
      <text>
        <r>
          <rPr>
            <sz val="9"/>
            <color indexed="81"/>
            <rFont val="Tahoma"/>
            <family val="2"/>
          </rPr>
          <t>ADDRESS_VERIFICATION_CODE
VARCHAR2(80)
Credit card address verification code from Oracle Payment Server.</t>
        </r>
      </text>
    </comment>
    <comment ref="GK4" authorId="0" shapeId="0">
      <text>
        <r>
          <rPr>
            <sz val="9"/>
            <color indexed="81"/>
            <rFont val="Tahoma"/>
            <family val="2"/>
          </rPr>
          <t>TRANSLATED_DESCRIPTION
VARCHAR2(1000)
Translated description of the transaction line.</t>
        </r>
      </text>
    </comment>
    <comment ref="GL4" authorId="0" shapeId="0">
      <text>
        <r>
          <rPr>
            <sz val="9"/>
            <color indexed="81"/>
            <rFont val="Tahoma"/>
            <family val="2"/>
          </rPr>
          <t>CONS_BILLING_NUMBER
VARCHAR2(30)
Used for custom billing and print formatting. Not used for balance forward bills.</t>
        </r>
      </text>
    </comment>
    <comment ref="GM4" authorId="0" shapeId="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text>
        <r>
          <rPr>
            <sz val="9"/>
            <color indexed="81"/>
            <rFont val="Tahoma"/>
            <family val="2"/>
          </rPr>
          <t>INVOICED_LINE_ACCTG_LEVEL
VARCHAR2(15)
Identifies accounting level for lines eligible for invoice in original system.</t>
        </r>
      </text>
    </comment>
    <comment ref="GQ4" authorId="0" shapeId="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text>
        <r>
          <rPr>
            <sz val="9"/>
            <color indexed="81"/>
            <rFont val="Tahoma"/>
            <family val="2"/>
          </rPr>
          <t>HISTORICAL_FLAG
VARCHAR2(1)
Flag that indicates whether the transaction line is historical (for tax purposes).</t>
        </r>
      </text>
    </comment>
    <comment ref="GS4" authorId="0" shapeId="0">
      <text>
        <r>
          <rPr>
            <sz val="9"/>
            <color indexed="81"/>
            <rFont val="Tahoma"/>
            <family val="2"/>
          </rPr>
          <t>DEFERRAL_EXCLUSION_FLAG
VARCHAR2(1)
If the value is Y, the transaction line is excluded from automated revenue deferral.</t>
        </r>
      </text>
    </comment>
    <comment ref="GT4" authorId="0" shapeId="0">
      <text>
        <r>
          <rPr>
            <sz val="9"/>
            <color indexed="81"/>
            <rFont val="Tahoma"/>
            <family val="2"/>
          </rPr>
          <t>PAYMENT_ATTRIBUTES
VARCHAR2(1000)
Payment attributes used for grouping transaction lines.</t>
        </r>
      </text>
    </comment>
    <comment ref="GU4" authorId="0" shapeId="0">
      <text>
        <r>
          <rPr>
            <sz val="9"/>
            <color indexed="81"/>
            <rFont val="Tahoma"/>
            <family val="2"/>
          </rPr>
          <t>BILLING_DATE
DATE
Billing date to use for invoice creation.
Provide a value in the format YYYY/MM/DD.</t>
        </r>
      </text>
    </comment>
    <comment ref="GV4" authorId="0" shapeId="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text>
        <r>
          <rPr>
            <sz val="9"/>
            <color indexed="81"/>
            <rFont val="Tahoma"/>
            <family val="2"/>
          </rPr>
          <t>LINE_GDF_ATTR_CATEGORY
VARCHAR2(30)
This column is not used. Do not provide a value for this column.
Reserved for country-specific functionality.</t>
        </r>
      </text>
    </comment>
    <comment ref="JH4" authorId="0" shapeId="0">
      <text>
        <r>
          <rPr>
            <sz val="9"/>
            <color indexed="81"/>
            <rFont val="Tahoma"/>
            <family val="2"/>
          </rPr>
          <t>Line_GDF_ATTRIBUTE1
VARCHAR2(150)
This column is not used. Do not provide a value for this column.
Reserved for country-specific functionality.</t>
        </r>
      </text>
    </comment>
    <comment ref="JI4" authorId="0" shapeId="0">
      <text>
        <r>
          <rPr>
            <sz val="9"/>
            <color indexed="81"/>
            <rFont val="Tahoma"/>
            <family val="2"/>
          </rPr>
          <t>Line_GDF_ATTRIBUTE2
VARCHAR2(150)
This column is not used. Do not provide a value for this column.
Reserved for country-specific functionality.</t>
        </r>
      </text>
    </comment>
    <comment ref="JJ4" authorId="0" shapeId="0">
      <text>
        <r>
          <rPr>
            <sz val="9"/>
            <color indexed="81"/>
            <rFont val="Tahoma"/>
            <family val="2"/>
          </rPr>
          <t>Line_GDF_ATTRIBUTE3
VARCHAR2(150)
This column is not used. Do not provide a value for this column.
Reserved for country-specific functionality.</t>
        </r>
      </text>
    </comment>
    <comment ref="JK4" authorId="0" shapeId="0">
      <text>
        <r>
          <rPr>
            <sz val="9"/>
            <color indexed="81"/>
            <rFont val="Tahoma"/>
            <family val="2"/>
          </rPr>
          <t>Line_GDF_ATTRIBUTE4
VARCHAR2(150)
This column is not used. Do not provide a value for this column.
Reserved for country-specific functionality.</t>
        </r>
      </text>
    </comment>
    <comment ref="JL4" authorId="0" shapeId="0">
      <text>
        <r>
          <rPr>
            <sz val="9"/>
            <color indexed="81"/>
            <rFont val="Tahoma"/>
            <family val="2"/>
          </rPr>
          <t>Line_GDF_ATTRIBUTE5
VARCHAR2(150)
This column is not used. Do not provide a value for this column.
Reserved for country-specific functionality.</t>
        </r>
      </text>
    </comment>
    <comment ref="JM4" authorId="0" shapeId="0">
      <text>
        <r>
          <rPr>
            <sz val="9"/>
            <color indexed="81"/>
            <rFont val="Tahoma"/>
            <family val="2"/>
          </rPr>
          <t>Line_GDF_ATTRIBUTE6
VARCHAR2(150)
This column is not used. Do not provide a value for this column.
Reserved for country-specific functionality.</t>
        </r>
      </text>
    </comment>
    <comment ref="JN4" authorId="0" shapeId="0">
      <text>
        <r>
          <rPr>
            <sz val="9"/>
            <color indexed="81"/>
            <rFont val="Tahoma"/>
            <family val="2"/>
          </rPr>
          <t>Line_GDF_ATTRIBUTE7
VARCHAR2(150)
This column is not used. Do not provide a value for this column.
Reserved for country-specific functionality.</t>
        </r>
      </text>
    </comment>
    <comment ref="JO4" authorId="0" shapeId="0">
      <text>
        <r>
          <rPr>
            <sz val="9"/>
            <color indexed="81"/>
            <rFont val="Tahoma"/>
            <family val="2"/>
          </rPr>
          <t>Line_GDF_ATTRIBUTE8
VARCHAR2(150)
This column is not used. Do not provide a value for this column.
Reserved for country-specific functionality.</t>
        </r>
      </text>
    </comment>
    <comment ref="JP4" authorId="0" shapeId="0">
      <text>
        <r>
          <rPr>
            <sz val="9"/>
            <color indexed="81"/>
            <rFont val="Tahoma"/>
            <family val="2"/>
          </rPr>
          <t>Line_GDF_ATTRIBUTE9
VARCHAR2(150)
This column is not used. Do not provide a value for this column.
Reserved for country-specific functionality.</t>
        </r>
      </text>
    </comment>
    <comment ref="JQ4" authorId="0" shapeId="0">
      <text>
        <r>
          <rPr>
            <sz val="9"/>
            <color indexed="81"/>
            <rFont val="Tahoma"/>
            <family val="2"/>
          </rPr>
          <t>Line_GDF_ATTRIBUTE10
VARCHAR2(150)
This column is not used. Do not provide a value for this column.
Reserved for country-specific functionality.</t>
        </r>
      </text>
    </comment>
    <comment ref="JR4" authorId="0" shapeId="0">
      <text>
        <r>
          <rPr>
            <sz val="9"/>
            <color indexed="81"/>
            <rFont val="Tahoma"/>
            <family val="2"/>
          </rPr>
          <t>Line_GDF_ATTRIBUTE11
VARCHAR2(150)
This column is not used. Do not provide a value for this column.
Reserved for country-specific functionality.</t>
        </r>
      </text>
    </comment>
    <comment ref="JS4" authorId="0" shapeId="0">
      <text>
        <r>
          <rPr>
            <sz val="9"/>
            <color indexed="81"/>
            <rFont val="Tahoma"/>
            <family val="2"/>
          </rPr>
          <t>Line_GDF_ATTRIBUTE12
VARCHAR2(150)
This column is not used. Do not provide a value for this column.
Reserved for country-specific functionality.</t>
        </r>
      </text>
    </comment>
    <comment ref="JT4" authorId="0" shapeId="0">
      <text>
        <r>
          <rPr>
            <sz val="9"/>
            <color indexed="81"/>
            <rFont val="Tahoma"/>
            <family val="2"/>
          </rPr>
          <t>Line_GDF_ATTRIBUTE13
VARCHAR2(150)
This column is not used. Do not provide a value for this column.
Reserved for country-specific functionality.</t>
        </r>
      </text>
    </comment>
    <comment ref="JU4" authorId="0" shapeId="0">
      <text>
        <r>
          <rPr>
            <sz val="9"/>
            <color indexed="81"/>
            <rFont val="Tahoma"/>
            <family val="2"/>
          </rPr>
          <t>Line_GDF_ATTRIBUTE14
VARCHAR2(150)
This column is not used. Do not provide a value for this column.
Reserved for country-specific functionality.</t>
        </r>
      </text>
    </comment>
    <comment ref="JV4" authorId="0" shapeId="0">
      <text>
        <r>
          <rPr>
            <sz val="9"/>
            <color indexed="81"/>
            <rFont val="Tahoma"/>
            <family val="2"/>
          </rPr>
          <t>Line_GDF_ATTRIBUTE15
VARCHAR2(150)
This column is not used. Do not provide a value for this column.
Reserved for country-specific functionality.</t>
        </r>
      </text>
    </comment>
    <comment ref="JW4" authorId="0" shapeId="0">
      <text>
        <r>
          <rPr>
            <sz val="9"/>
            <color indexed="81"/>
            <rFont val="Tahoma"/>
            <family val="2"/>
          </rPr>
          <t>Line_GDF_ATTRIBUTE16
VARCHAR2(150)
This column is not used. Do not provide a value for this column.
Reserved for country-specific functionality.</t>
        </r>
      </text>
    </comment>
    <comment ref="JX4" authorId="0" shapeId="0">
      <text>
        <r>
          <rPr>
            <sz val="9"/>
            <color indexed="81"/>
            <rFont val="Tahoma"/>
            <family val="2"/>
          </rPr>
          <t>Line_GDF_ATTRIBUTE17
VARCHAR2(150)
This column is not used. Do not provide a value for this column.
Reserved for country-specific functionality.</t>
        </r>
      </text>
    </comment>
    <comment ref="JY4" authorId="0" shapeId="0">
      <text>
        <r>
          <rPr>
            <sz val="9"/>
            <color indexed="81"/>
            <rFont val="Tahoma"/>
            <family val="2"/>
          </rPr>
          <t>Line_GDF_ATTRIBUTE18
VARCHAR2(150)
This column is not used. Do not provide a value for this column.
Reserved for country-specific functionality.</t>
        </r>
      </text>
    </comment>
    <comment ref="JZ4" authorId="0" shapeId="0">
      <text>
        <r>
          <rPr>
            <sz val="9"/>
            <color indexed="81"/>
            <rFont val="Tahoma"/>
            <family val="2"/>
          </rPr>
          <t>Line_GDF_ATTRIBUTE19
VARCHAR2(150)
This column is not used. Do not provide a value for this column.
Reserved for country-specific functionality.</t>
        </r>
      </text>
    </comment>
    <comment ref="KA4" authorId="0" shapeId="0">
      <text>
        <r>
          <rPr>
            <sz val="9"/>
            <color indexed="81"/>
            <rFont val="Tahoma"/>
            <family val="2"/>
          </rPr>
          <t>Line_GDF_ATTRIBUTE20
VARCHAR2(150)
This column is not used. Do not provide a value for this column.
Reserved for country-specific functionality.</t>
        </r>
      </text>
    </comment>
    <comment ref="KB4" authorId="0" shapeId="0">
      <text>
        <r>
          <rPr>
            <sz val="9"/>
            <color indexed="81"/>
            <rFont val="Tahoma"/>
            <family val="2"/>
          </rPr>
          <t>COMMENTS
VARCHAR (240)
Comments for the transaction. Free text field. Not validated</t>
        </r>
      </text>
    </comment>
    <comment ref="KC4" authorId="0" shapeId="0">
      <text>
        <r>
          <rPr>
            <sz val="9"/>
            <color indexed="81"/>
            <rFont val="Tahoma"/>
            <family val="2"/>
          </rPr>
          <t>INTERNAL_NOTES
VARCHAR(240)
Additional information from source system for the transaction. Free text field. Not validated.</t>
        </r>
      </text>
    </comment>
    <comment ref="KD4" authorId="0" shapeId="0">
      <text>
        <r>
          <rPr>
            <sz val="9"/>
            <color theme="1"/>
            <rFont val="Tahoma"/>
            <family val="2"/>
          </rPr>
          <t>CC_TOKEN_NUMBER
VARCHAR2(30)
Token number issued by the tokenization service provider corresponding to a credit card number.
This is a required field for credit card token and authorization import.</t>
        </r>
      </text>
    </comment>
    <comment ref="KE4" authorId="0" shapeId="0">
      <text>
        <r>
          <rPr>
            <sz val="9"/>
            <color theme="1"/>
            <rFont val="Tahoma"/>
            <family val="2"/>
          </rPr>
          <t>CC_EXPIRATION_DATE
DATE
Expiration date of the credit card.
Provide a value in the format YYYY/MM/DD.</t>
        </r>
      </text>
    </comment>
    <comment ref="KF4" authorId="0" shapeId="0">
      <text>
        <r>
          <rPr>
            <sz val="9"/>
            <color theme="1"/>
            <rFont val="Tahoma"/>
            <family val="2"/>
          </rPr>
          <t>CC_FIRST_NAME
VARCHAR2(40)
First name of the credit card holder.</t>
        </r>
      </text>
    </comment>
    <comment ref="KG4" authorId="0" shapeId="0">
      <text>
        <r>
          <rPr>
            <sz val="9"/>
            <color theme="1"/>
            <rFont val="Tahoma"/>
            <family val="2"/>
          </rPr>
          <t>CC_LAST_NAME
VARCHAR2(40)
Last name of the credit card holder.</t>
        </r>
      </text>
    </comment>
    <comment ref="KH4" authorId="0" shapeId="0">
      <text>
        <r>
          <rPr>
            <sz val="9"/>
            <color theme="1"/>
            <rFont val="Tahoma"/>
            <family val="2"/>
          </rPr>
          <t>CC_ISSUER_CODE
VARCHAR2(30)
Code for the credit card issuer, such as Visa or MasterCard.
Valid values are derived from the IBY_CARD_TYPES lookup.</t>
        </r>
        <r>
          <rPr>
            <sz val="11"/>
            <color theme="1"/>
            <rFont val="Calibri"/>
            <family val="2"/>
            <scheme val="minor"/>
          </rPr>
          <t xml:space="preserve">
</t>
        </r>
      </text>
    </comment>
    <comment ref="KI4" authorId="0" shapeId="0">
      <text>
        <r>
          <rPr>
            <sz val="9"/>
            <color theme="1"/>
            <rFont val="Tahoma"/>
            <family val="2"/>
          </rPr>
          <t>CC_MASKED_NUMBER
VARCHAR2(30)
Masked credit card number, for display purposes.</t>
        </r>
      </text>
    </comment>
    <comment ref="KJ4" authorId="0" shapeId="0">
      <text>
        <r>
          <rPr>
            <sz val="9"/>
            <color indexed="81"/>
            <rFont val="Tahoma"/>
            <family val="2"/>
          </rPr>
          <t xml:space="preserve">CC_AUTHORIZATION_REQUEST_ID
VARCHAR2(30)
Authorization request identifier received from the tokenization service provider to authorize the credit card number.
If you want to import a credit card authorization other than the Credit Card Token Number, then you must provide either the Credit Card Authorization Request Identifier or the Credit Card Voice Authorization Code. If both are provided, then the Credit Card Authorization Request Identifier takes precedence. </t>
        </r>
      </text>
    </comment>
    <comment ref="KK4" authorId="0" shapeId="0">
      <text>
        <r>
          <rPr>
            <sz val="9"/>
            <color theme="1"/>
            <rFont val="Tahoma"/>
            <family val="2"/>
          </rPr>
          <t>CC_VOICE_AUTHORIZATION_CODE
VARCHAR2(100)
Voice authorization code received from the tokenization service provider to authorize the credit card number.
If you want to import a credit card authorization other than the Credit Card Token Number, then you must provide either the Credit Card Authorization Request Identifier or the Credit Card Voice Authorization Code. If both are provided, then the Credit Card Authorization Request Identifier takes precedence.</t>
        </r>
      </text>
    </comment>
    <comment ref="KL4" authorId="0" shapeId="0">
      <text>
        <r>
          <rPr>
            <b/>
            <sz val="9"/>
            <color indexed="81"/>
            <rFont val="Tahoma"/>
            <family val="2"/>
          </rPr>
          <t>Author:</t>
        </r>
        <r>
          <rPr>
            <sz val="9"/>
            <color indexed="81"/>
            <rFont val="Tahoma"/>
            <family val="2"/>
          </rPr>
          <t xml:space="preserve">
HEADER_GDF_ATTRIBUTE_NUMBER1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M4" authorId="0" shapeId="0">
      <text>
        <r>
          <rPr>
            <b/>
            <sz val="9"/>
            <color indexed="81"/>
            <rFont val="Tahoma"/>
            <family val="2"/>
          </rPr>
          <t>Author:</t>
        </r>
        <r>
          <rPr>
            <sz val="9"/>
            <color indexed="81"/>
            <rFont val="Tahoma"/>
            <family val="2"/>
          </rPr>
          <t xml:space="preserve">
HEADER_GDF_ATTRIBUTE_NUMBER2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N4" authorId="0" shapeId="0">
      <text>
        <r>
          <rPr>
            <b/>
            <sz val="9"/>
            <color indexed="81"/>
            <rFont val="Tahoma"/>
            <family val="2"/>
          </rPr>
          <t>Author:</t>
        </r>
        <r>
          <rPr>
            <sz val="9"/>
            <color indexed="81"/>
            <rFont val="Tahoma"/>
            <family val="2"/>
          </rPr>
          <t xml:space="preserve">
HEADER_GDF_ATTRIBUTE_NUMBER3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O4" authorId="0" shapeId="0">
      <text>
        <r>
          <rPr>
            <b/>
            <sz val="9"/>
            <color indexed="81"/>
            <rFont val="Tahoma"/>
            <family val="2"/>
          </rPr>
          <t>Author:</t>
        </r>
        <r>
          <rPr>
            <sz val="9"/>
            <color indexed="81"/>
            <rFont val="Tahoma"/>
            <family val="2"/>
          </rPr>
          <t xml:space="preserve">
HEADER_GDF_ATTRIBUTE_NUMBER4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
</t>
        </r>
      </text>
    </comment>
    <comment ref="KP4" authorId="0" shapeId="0">
      <text>
        <r>
          <rPr>
            <b/>
            <sz val="9"/>
            <color indexed="81"/>
            <rFont val="Tahoma"/>
            <family val="2"/>
          </rPr>
          <t>Author:</t>
        </r>
        <r>
          <rPr>
            <sz val="9"/>
            <color indexed="81"/>
            <rFont val="Tahoma"/>
            <family val="2"/>
          </rPr>
          <t xml:space="preserve">
HEADER_GDF_ATTRIBUTE_NUMBER5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Q4" authorId="0" shapeId="0">
      <text>
        <r>
          <rPr>
            <b/>
            <sz val="9"/>
            <color indexed="81"/>
            <rFont val="Tahoma"/>
            <family val="2"/>
          </rPr>
          <t>Author:</t>
        </r>
        <r>
          <rPr>
            <sz val="9"/>
            <color indexed="81"/>
            <rFont val="Tahoma"/>
            <family val="2"/>
          </rPr>
          <t xml:space="preserve">
HEADER_GDF_ATTRIBUTE_NUMBER6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R4" authorId="0" shapeId="0">
      <text>
        <r>
          <rPr>
            <b/>
            <sz val="9"/>
            <color indexed="81"/>
            <rFont val="Tahoma"/>
            <family val="2"/>
          </rPr>
          <t>Author:</t>
        </r>
        <r>
          <rPr>
            <sz val="9"/>
            <color indexed="81"/>
            <rFont val="Tahoma"/>
            <family val="2"/>
          </rPr>
          <t xml:space="preserve">
HEADER_GDF_ATTRIBUTE_NUMBER7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S4" authorId="0" shapeId="0">
      <text>
        <r>
          <rPr>
            <b/>
            <sz val="9"/>
            <color indexed="81"/>
            <rFont val="Tahoma"/>
            <family val="2"/>
          </rPr>
          <t>Author:</t>
        </r>
        <r>
          <rPr>
            <sz val="9"/>
            <color indexed="81"/>
            <rFont val="Tahoma"/>
            <family val="2"/>
          </rPr>
          <t xml:space="preserve">
HEADER_GDF_ATTRIBUTE_NUMBER8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T4" authorId="0" shapeId="0">
      <text>
        <r>
          <rPr>
            <b/>
            <sz val="9"/>
            <color indexed="81"/>
            <rFont val="Tahoma"/>
            <family val="2"/>
          </rPr>
          <t>Author:</t>
        </r>
        <r>
          <rPr>
            <sz val="9"/>
            <color indexed="81"/>
            <rFont val="Tahoma"/>
            <family val="2"/>
          </rPr>
          <t xml:space="preserve">
HEADER_GDF_ATTRIBUTE_NUMBER9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U4" authorId="0" shapeId="0">
      <text>
        <r>
          <rPr>
            <b/>
            <sz val="9"/>
            <color indexed="81"/>
            <rFont val="Tahoma"/>
            <family val="2"/>
          </rPr>
          <t>Author:</t>
        </r>
        <r>
          <rPr>
            <sz val="9"/>
            <color indexed="81"/>
            <rFont val="Tahoma"/>
            <family val="2"/>
          </rPr>
          <t xml:space="preserve">
HEADER_GDF_ATTRIBUTE_NUMBER10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V4" authorId="0" shapeId="0">
      <text>
        <r>
          <rPr>
            <b/>
            <sz val="9"/>
            <color indexed="81"/>
            <rFont val="Tahoma"/>
            <family val="2"/>
          </rPr>
          <t>Author:</t>
        </r>
        <r>
          <rPr>
            <sz val="9"/>
            <color indexed="81"/>
            <rFont val="Tahoma"/>
            <family val="2"/>
          </rPr>
          <t xml:space="preserve">
HEADER_GDF_ATTRIBUTE_NUMBER11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W4" authorId="0" shapeId="0">
      <text>
        <r>
          <rPr>
            <b/>
            <sz val="9"/>
            <color indexed="81"/>
            <rFont val="Tahoma"/>
            <family val="2"/>
          </rPr>
          <t>Author:</t>
        </r>
        <r>
          <rPr>
            <sz val="9"/>
            <color indexed="81"/>
            <rFont val="Tahoma"/>
            <family val="2"/>
          </rPr>
          <t xml:space="preserve">
HEADER_GDF_ATTRIBUTE_NUMBER12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X4" authorId="0" shapeId="0">
      <text>
        <r>
          <rPr>
            <b/>
            <sz val="9"/>
            <color indexed="81"/>
            <rFont val="Tahoma"/>
            <family val="2"/>
          </rPr>
          <t>Author:</t>
        </r>
        <r>
          <rPr>
            <sz val="9"/>
            <color indexed="81"/>
            <rFont val="Tahoma"/>
            <family val="2"/>
          </rPr>
          <t xml:space="preserve">
HEADER_GDF_ATTRIBUTE_DATE1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Y4" authorId="0" shapeId="0">
      <text>
        <r>
          <rPr>
            <b/>
            <sz val="9"/>
            <color indexed="81"/>
            <rFont val="Tahoma"/>
            <family val="2"/>
          </rPr>
          <t>Author:</t>
        </r>
        <r>
          <rPr>
            <sz val="9"/>
            <color indexed="81"/>
            <rFont val="Tahoma"/>
            <family val="2"/>
          </rPr>
          <t xml:space="preserve">
HEADER_GDF_ATTRIBUTE_DATE2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Z4" authorId="0" shapeId="0">
      <text>
        <r>
          <rPr>
            <b/>
            <sz val="9"/>
            <color indexed="81"/>
            <rFont val="Tahoma"/>
            <family val="2"/>
          </rPr>
          <t>Author:</t>
        </r>
        <r>
          <rPr>
            <sz val="9"/>
            <color indexed="81"/>
            <rFont val="Tahoma"/>
            <family val="2"/>
          </rPr>
          <t xml:space="preserve">
HEADER_GDF_ATTRIBUTE_DATE3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A4" authorId="0" shapeId="0">
      <text>
        <r>
          <rPr>
            <b/>
            <sz val="9"/>
            <color indexed="81"/>
            <rFont val="Tahoma"/>
            <family val="2"/>
          </rPr>
          <t>Author:</t>
        </r>
        <r>
          <rPr>
            <sz val="9"/>
            <color indexed="81"/>
            <rFont val="Tahoma"/>
            <family val="2"/>
          </rPr>
          <t xml:space="preserve">
HEADER_GDF_ATTRIBUTE_DATE4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B4" authorId="0" shapeId="0">
      <text>
        <r>
          <rPr>
            <b/>
            <sz val="9"/>
            <color indexed="81"/>
            <rFont val="Tahoma"/>
            <family val="2"/>
          </rPr>
          <t>Author:</t>
        </r>
        <r>
          <rPr>
            <sz val="9"/>
            <color indexed="81"/>
            <rFont val="Tahoma"/>
            <family val="2"/>
          </rPr>
          <t xml:space="preserve">
HEADER_GDF_ATTRIBUTE_DATE5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C4" authorId="0" shapeId="0">
      <text>
        <r>
          <rPr>
            <b/>
            <sz val="9"/>
            <color indexed="81"/>
            <rFont val="Tahoma"/>
            <family val="2"/>
          </rPr>
          <t>Author:</t>
        </r>
        <r>
          <rPr>
            <sz val="9"/>
            <color indexed="81"/>
            <rFont val="Tahoma"/>
            <family val="2"/>
          </rPr>
          <t xml:space="preserve">
LINE_GDF_ATTRIBUTE_NUMBER1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D4" authorId="0" shapeId="0">
      <text>
        <r>
          <rPr>
            <b/>
            <sz val="9"/>
            <color indexed="81"/>
            <rFont val="Tahoma"/>
            <family val="2"/>
          </rPr>
          <t>Author:</t>
        </r>
        <r>
          <rPr>
            <sz val="9"/>
            <color indexed="81"/>
            <rFont val="Tahoma"/>
            <family val="2"/>
          </rPr>
          <t xml:space="preserve">
LINE_GDF_ATTRIBUTE_NUMBER2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E4" authorId="0" shapeId="0">
      <text>
        <r>
          <rPr>
            <b/>
            <sz val="9"/>
            <color indexed="81"/>
            <rFont val="Tahoma"/>
            <family val="2"/>
          </rPr>
          <t>Author:</t>
        </r>
        <r>
          <rPr>
            <sz val="9"/>
            <color indexed="81"/>
            <rFont val="Tahoma"/>
            <family val="2"/>
          </rPr>
          <t xml:space="preserve">
LINE_GDF_ATTRIBUTE_NUMBER3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F4" authorId="0" shapeId="0">
      <text>
        <r>
          <rPr>
            <b/>
            <sz val="9"/>
            <color indexed="81"/>
            <rFont val="Tahoma"/>
            <family val="2"/>
          </rPr>
          <t>Author:</t>
        </r>
        <r>
          <rPr>
            <sz val="9"/>
            <color indexed="81"/>
            <rFont val="Tahoma"/>
            <family val="2"/>
          </rPr>
          <t xml:space="preserve">
LINE_GDF_ATTRIBUTE_NUMBER4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G4" authorId="0" shapeId="0">
      <text>
        <r>
          <rPr>
            <b/>
            <sz val="9"/>
            <color indexed="81"/>
            <rFont val="Tahoma"/>
            <family val="2"/>
          </rPr>
          <t>Author:</t>
        </r>
        <r>
          <rPr>
            <sz val="9"/>
            <color indexed="81"/>
            <rFont val="Tahoma"/>
            <family val="2"/>
          </rPr>
          <t xml:space="preserve">
LINE_GDF_ATTRIBUTE_NUMBER5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H4" authorId="0" shapeId="0">
      <text>
        <r>
          <rPr>
            <b/>
            <sz val="9"/>
            <color indexed="81"/>
            <rFont val="Tahoma"/>
            <family val="2"/>
          </rPr>
          <t>Author:</t>
        </r>
        <r>
          <rPr>
            <sz val="9"/>
            <color indexed="81"/>
            <rFont val="Tahoma"/>
            <family val="2"/>
          </rPr>
          <t xml:space="preserve">
LINE_GDF_ATTRIBUTE_DATE1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I4" authorId="0" shapeId="0">
      <text>
        <r>
          <rPr>
            <b/>
            <sz val="9"/>
            <color indexed="81"/>
            <rFont val="Tahoma"/>
            <family val="2"/>
          </rPr>
          <t>Author:</t>
        </r>
        <r>
          <rPr>
            <sz val="9"/>
            <color indexed="81"/>
            <rFont val="Tahoma"/>
            <family val="2"/>
          </rPr>
          <t xml:space="preserve">
LINE_GDF_ATTRIBUTE_DATE2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J4" authorId="0" shapeId="0">
      <text>
        <r>
          <rPr>
            <b/>
            <sz val="9"/>
            <color indexed="81"/>
            <rFont val="Tahoma"/>
            <family val="2"/>
          </rPr>
          <t>Author:</t>
        </r>
        <r>
          <rPr>
            <sz val="9"/>
            <color indexed="81"/>
            <rFont val="Tahoma"/>
            <family val="2"/>
          </rPr>
          <t xml:space="preserve">
LINE_GDF_ATTRIBUTE_DATE3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K4" authorId="0" shapeId="0">
      <text>
        <r>
          <rPr>
            <b/>
            <sz val="9"/>
            <color indexed="81"/>
            <rFont val="Tahoma"/>
            <family val="2"/>
          </rPr>
          <t>Author:</t>
        </r>
        <r>
          <rPr>
            <sz val="9"/>
            <color indexed="81"/>
            <rFont val="Tahoma"/>
            <family val="2"/>
          </rPr>
          <t xml:space="preserve">
LINE_GDF_ATTRIBUTE_DATE4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L4" authorId="0" shapeId="0">
      <text>
        <r>
          <rPr>
            <b/>
            <sz val="9"/>
            <color indexed="81"/>
            <rFont val="Tahoma"/>
            <family val="2"/>
          </rPr>
          <t>Author:</t>
        </r>
        <r>
          <rPr>
            <sz val="9"/>
            <color indexed="81"/>
            <rFont val="Tahoma"/>
            <family val="2"/>
          </rPr>
          <t xml:space="preserve">
LINE_GDF_ATTRIBUTE_DATE5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M4" authorId="0" shapeId="0">
      <text>
        <r>
          <rPr>
            <sz val="9"/>
            <color indexed="81"/>
            <rFont val="Tahoma"/>
            <family val="2"/>
          </rPr>
          <t>FREIGHT_CHARGE
NUMBER
Freight amount charged to the customer for the sale of item on the line.</t>
        </r>
      </text>
    </comment>
    <comment ref="LN4" authorId="0" shapeId="0">
      <text>
        <r>
          <rPr>
            <sz val="9"/>
            <color indexed="81"/>
            <rFont val="Tahoma"/>
            <family val="2"/>
          </rPr>
          <t xml:space="preserve">INSURANCE_CHARGE
NUMBER
Insurance amount charged to the customer for th e sale of item on the line.
</t>
        </r>
      </text>
    </comment>
    <comment ref="LO4" authorId="0" shapeId="0">
      <text>
        <r>
          <rPr>
            <sz val="9"/>
            <color indexed="81"/>
            <rFont val="Tahoma"/>
            <family val="2"/>
          </rPr>
          <t xml:space="preserve">PACKING_CHARGE
NUMBER
Packing amount charged to the customer for the sale of item on the line.
</t>
        </r>
      </text>
    </comment>
    <comment ref="LP4" authorId="0" shapeId="0">
      <text>
        <r>
          <rPr>
            <sz val="9"/>
            <color indexed="81"/>
            <rFont val="Tahoma"/>
            <family val="2"/>
          </rPr>
          <t>MISCELLANEOUS_CHARGE
NUMBER
Other charge amount charged to the customer for the sale of item on the line.</t>
        </r>
      </text>
    </comment>
    <comment ref="LQ4" authorId="0" shapeId="0">
      <text>
        <r>
          <rPr>
            <sz val="9"/>
            <color indexed="81"/>
            <rFont val="Tahoma"/>
            <family val="2"/>
          </rPr>
          <t>COMMERCIAL_DISCOUNT
NUMBER
Commercial discount extended to the customer for the purchase of the item on the line.</t>
        </r>
      </text>
    </comment>
    <comment ref="LR4" authorId="0" shapeId="0">
      <text>
        <r>
          <rPr>
            <b/>
            <sz val="9"/>
            <color indexed="81"/>
            <rFont val="Tahoma"/>
            <charset val="1"/>
          </rPr>
          <t>Author:</t>
        </r>
        <r>
          <rPr>
            <sz val="9"/>
            <color indexed="81"/>
            <rFont val="Tahoma"/>
            <charset val="1"/>
          </rPr>
          <t xml:space="preserve">
ENF_SEQ_DATE_CORRELATION_CODE
VARCHAR2(1)
Value that determines if the chronological document sequencing should be enforced or not. 
Valid values are
S: Do not enforce chronology
If left blank: Apply chronology as per document sequencing setup </t>
        </r>
      </text>
    </comment>
    <comment ref="LS4" authorId="0" shapeId="0">
      <text>
        <r>
          <rPr>
            <b/>
            <sz val="9"/>
            <color indexed="81"/>
            <rFont val="Tahoma"/>
            <charset val="1"/>
          </rPr>
          <t>Author:</t>
        </r>
        <r>
          <rPr>
            <sz val="9"/>
            <color indexed="81"/>
            <rFont val="Tahoma"/>
            <charset val="1"/>
          </rPr>
          <t xml:space="preserve">
PAYMENT_TRXN_EXTENSION_ID
NUMBER
Oracle internal use only. Oracle Fusion Payments transaction identifier for processing a credit card or bank account payment.</t>
        </r>
      </text>
    </comment>
    <comment ref="LT4" authorId="0" shapeId="0">
      <text>
        <r>
          <rPr>
            <b/>
            <sz val="9"/>
            <color indexed="81"/>
            <rFont val="Tahoma"/>
            <charset val="1"/>
          </rPr>
          <t>Author:</t>
        </r>
        <r>
          <rPr>
            <sz val="9"/>
            <color indexed="81"/>
            <rFont val="Tahoma"/>
            <charset val="1"/>
          </rPr>
          <t xml:space="preserve">
INTERFACE_STATUS
VARCHAR2(1)
Oracle internal use only. Interface Status.</t>
        </r>
      </text>
    </comment>
  </commentList>
</comments>
</file>

<file path=xl/comments2.xml><?xml version="1.0" encoding="utf-8"?>
<comments xmlns="http://schemas.openxmlformats.org/spreadsheetml/2006/main">
  <authors>
    <author>Author</author>
  </authors>
  <commentList>
    <comment ref="A4" authorId="0" shapeId="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text>
        <r>
          <rPr>
            <sz val="9"/>
            <color indexed="81"/>
            <rFont val="Tahoma"/>
            <family val="2"/>
          </rPr>
          <t xml:space="preserve">BU_NAME
VARCHAR2 (240)
Indicates the name of the business unit associated with the row. </t>
        </r>
      </text>
    </comment>
    <comment ref="C4" authorId="0" shapeId="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text>
        <r>
          <rPr>
            <sz val="9"/>
            <color indexed="81"/>
            <rFont val="Tahoma"/>
            <family val="2"/>
          </rPr>
          <t>COMMENTS
VARCHAR2(240)
This column is not used. Do not provide a value for this column.
Comments about this accounting distribution.</t>
        </r>
      </text>
    </comment>
    <comment ref="BB4" authorId="0" shapeId="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authors>
    <author>Author</author>
  </authors>
  <commentList>
    <comment ref="A4" authorId="0" shapeId="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text>
        <r>
          <rPr>
            <sz val="9"/>
            <color indexed="81"/>
            <rFont val="Tahoma"/>
            <family val="2"/>
          </rPr>
          <t xml:space="preserve">BU_NAME
VARCHAR2 (240)
Indicates the name of the business unit associated with the row.
</t>
        </r>
      </text>
    </comment>
    <comment ref="C4" authorId="0" shapeId="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text>
        <r>
          <rPr>
            <sz val="9"/>
            <color indexed="81"/>
            <rFont val="Tahoma"/>
            <family val="2"/>
          </rPr>
          <t>SALES_CREDIT_TYPE_NAME
VARCHAR2(30)
The name of the sales credit type
Valid Values are 'Quota Sales Credit' and 'Non-quota Sales Credit'.</t>
        </r>
      </text>
    </comment>
    <comment ref="E4" authorId="0" shapeId="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authors>
    <author>Author</author>
  </authors>
  <commentList>
    <comment ref="A4" authorId="0" shapeId="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text>
        <r>
          <rPr>
            <sz val="9"/>
            <color indexed="81"/>
            <rFont val="Tahoma"/>
            <family val="2"/>
          </rPr>
          <t>BU_NAME
VARCHAR2 (240)
Indicates the name of the business unit associated with the row.</t>
        </r>
      </text>
    </comment>
    <comment ref="C4" authorId="0" shapeId="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text>
        <r>
          <rPr>
            <sz val="9"/>
            <color indexed="81"/>
            <rFont val="Tahoma"/>
            <family val="2"/>
          </rPr>
          <t>EXPIRATION_DATE
DATE
Contingency Expiration Date.
Provide value in following format YYYY/MM/DD.</t>
        </r>
      </text>
    </comment>
    <comment ref="G4" authorId="0" shapeId="0">
      <text>
        <r>
          <rPr>
            <sz val="9"/>
            <color indexed="81"/>
            <rFont val="Tahoma"/>
            <family val="2"/>
          </rPr>
          <t>EXPIRATION_DAYS
NUMBER
Contingency Expiration in Days.</t>
        </r>
      </text>
    </comment>
    <comment ref="H4" authorId="0" shapeId="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text>
        <r>
          <rPr>
            <sz val="9"/>
            <color indexed="81"/>
            <rFont val="Tahoma"/>
            <family val="2"/>
          </rPr>
          <t>COMPLETED_FLAG
VARCHAR2(1)
Completed flag indicates if contingency has been completed.</t>
        </r>
      </text>
    </comment>
    <comment ref="Y4" authorId="0" shapeId="0">
      <text>
        <r>
          <rPr>
            <sz val="9"/>
            <color indexed="81"/>
            <rFont val="Tahoma"/>
            <family val="2"/>
          </rPr>
          <t>COMPLETED_BY
NUMBER
Standard Who column - user who completed the contingency.</t>
        </r>
      </text>
    </comment>
    <comment ref="Z4" authorId="0" shapeId="0">
      <text>
        <r>
          <rPr>
            <sz val="9"/>
            <color indexed="81"/>
            <rFont val="Tahoma"/>
            <family val="2"/>
          </rPr>
          <t>EXPIRATION_EVENT_DATE
DATE
Expiration event date.
Provide value in following format YYYY/MM/DD.</t>
        </r>
      </text>
    </comment>
    <comment ref="AA4" authorId="0" shapeId="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text>
        <r>
          <rPr>
            <sz val="9"/>
            <color indexed="81"/>
            <rFont val="Tahoma"/>
            <family val="2"/>
          </rPr>
          <t>ATTRIBUTE1
VARCHAR2(150)
This column is not used. Do not provide a value for this column.
Descriptive Flexfield: segment of the user descriptive flexfield.</t>
        </r>
      </text>
    </comment>
    <comment ref="AC4" authorId="0" shapeId="0">
      <text>
        <r>
          <rPr>
            <sz val="9"/>
            <color indexed="81"/>
            <rFont val="Tahoma"/>
            <family val="2"/>
          </rPr>
          <t>ATTRIBUTE2
VARCHAR2(150)
This column is not used. Do not provide a value for this column.
Descriptive Flexfield: segment of the user descriptive flexfield.</t>
        </r>
      </text>
    </comment>
    <comment ref="AD4" authorId="0" shapeId="0">
      <text>
        <r>
          <rPr>
            <sz val="9"/>
            <color indexed="81"/>
            <rFont val="Tahoma"/>
            <family val="2"/>
          </rPr>
          <t>ATTRIBUTE3
VARCHAR2(150)
This column is not used. Do not provide a value for this column.
Descriptive Flexfield: segment of the user descriptive flexfield.</t>
        </r>
      </text>
    </comment>
    <comment ref="AE4" authorId="0" shapeId="0">
      <text>
        <r>
          <rPr>
            <sz val="9"/>
            <color indexed="81"/>
            <rFont val="Tahoma"/>
            <family val="2"/>
          </rPr>
          <t>ATTRIBUTE4
VARCHAR2(150)
This column is not used. Do not provide a value for this column.
Descriptive Flexfield: segment of the user descriptive flexfield.</t>
        </r>
      </text>
    </comment>
    <comment ref="AF4" authorId="0" shapeId="0">
      <text>
        <r>
          <rPr>
            <sz val="9"/>
            <color indexed="81"/>
            <rFont val="Tahoma"/>
            <family val="2"/>
          </rPr>
          <t>ATTRIBUTE5
VARCHAR2(150)
This column is not used. Do not provide a value for this column.
Descriptive Flexfield: segment of the user descriptive flexfield.</t>
        </r>
      </text>
    </comment>
    <comment ref="AG4" authorId="0" shapeId="0">
      <text>
        <r>
          <rPr>
            <sz val="9"/>
            <color indexed="81"/>
            <rFont val="Tahoma"/>
            <family val="2"/>
          </rPr>
          <t>ATTRIBUTE6
VARCHAR2(150)
This column is not used. Do not provide a value for this column.
Descriptive Flexfield: segment of the user descriptive flexfield.</t>
        </r>
      </text>
    </comment>
    <comment ref="AH4" authorId="0" shapeId="0">
      <text>
        <r>
          <rPr>
            <sz val="9"/>
            <color indexed="81"/>
            <rFont val="Tahoma"/>
            <family val="2"/>
          </rPr>
          <t>ATTRIBUTE7
VARCHAR2(150)
This column is not used. Do not provide a value for this column.
Descriptive Flexfield: segment of the user descriptive flexfield.</t>
        </r>
      </text>
    </comment>
    <comment ref="AI4" authorId="0" shapeId="0">
      <text>
        <r>
          <rPr>
            <sz val="9"/>
            <color indexed="81"/>
            <rFont val="Tahoma"/>
            <family val="2"/>
          </rPr>
          <t>ATTRIBUTE8
VARCHAR2(150)
This column is not used. Do not provide a value for this column.
Descriptive Flexfield: segment of the user descriptive flexfield.</t>
        </r>
      </text>
    </comment>
    <comment ref="AJ4" authorId="0" shapeId="0">
      <text>
        <r>
          <rPr>
            <sz val="9"/>
            <color indexed="81"/>
            <rFont val="Tahoma"/>
            <family val="2"/>
          </rPr>
          <t>ATTRIBUTE9
VARCHAR2(150)
This column is not used. Do not provide a value for this column.
Descriptive Flexfield: segment of the user descriptive flexfield.</t>
        </r>
      </text>
    </comment>
    <comment ref="AK4" authorId="0" shapeId="0">
      <text>
        <r>
          <rPr>
            <sz val="9"/>
            <color indexed="81"/>
            <rFont val="Tahoma"/>
            <family val="2"/>
          </rPr>
          <t>ATTRIBUTE10
VARCHAR2(150)
This column is not used. Do not provide a value for this column.
Descriptive Flexfield: segment of the user descriptive flexfield.</t>
        </r>
      </text>
    </comment>
    <comment ref="AL4" authorId="0" shapeId="0">
      <text>
        <r>
          <rPr>
            <sz val="9"/>
            <color indexed="81"/>
            <rFont val="Tahoma"/>
            <family val="2"/>
          </rPr>
          <t>ATTRIBUTE11
VARCHAR2(150)
This column is not used. Do not provide a value for this column.
Descriptive Flexfield: segment of the user descriptive flexfield.</t>
        </r>
      </text>
    </comment>
    <comment ref="AM4" authorId="0" shapeId="0">
      <text>
        <r>
          <rPr>
            <sz val="9"/>
            <color indexed="81"/>
            <rFont val="Tahoma"/>
            <family val="2"/>
          </rPr>
          <t>ATTRIBUTE12
VARCHAR2(150)
This column is not used. Do not provide a value for this column.
Descriptive Flexfield: segment of the user descriptive flexfield.</t>
        </r>
      </text>
    </comment>
    <comment ref="AN4" authorId="0" shapeId="0">
      <text>
        <r>
          <rPr>
            <sz val="9"/>
            <color indexed="81"/>
            <rFont val="Tahoma"/>
            <family val="2"/>
          </rPr>
          <t>ATTRIBUTE13
VARCHAR2(150)
This column is not used. Do not provide a value for this column.
Descriptive Flexfield: segment of the user descriptive flexfield.</t>
        </r>
      </text>
    </comment>
    <comment ref="AO4" authorId="0" shapeId="0">
      <text>
        <r>
          <rPr>
            <sz val="9"/>
            <color indexed="81"/>
            <rFont val="Tahoma"/>
            <family val="2"/>
          </rPr>
          <t>ATTRIBUTE14
VARCHAR2(150)
This column is not used. Do not provide a value for this column.
Descriptive Flexfield: segment of the user descriptive flexfield.</t>
        </r>
      </text>
    </comment>
    <comment ref="AP4" authorId="0" shapeId="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<sst xmlns="http://schemas.openxmlformats.org/spreadsheetml/2006/main" count="2282" uniqueCount="632">
  <si>
    <t>Transaction Date</t>
  </si>
  <si>
    <t>Accounting Date</t>
  </si>
  <si>
    <t>Transaction Number</t>
  </si>
  <si>
    <t>Currency Conversion Date</t>
  </si>
  <si>
    <t>Currency Conversion Rate</t>
  </si>
  <si>
    <t>Transaction Line Amount</t>
  </si>
  <si>
    <t>Transaction Line Quantity</t>
  </si>
  <si>
    <t>Customer Ordered Quantity</t>
  </si>
  <si>
    <t>Unit Selling Price</t>
  </si>
  <si>
    <t>Unit Standard Price</t>
  </si>
  <si>
    <t>Primary Salesperson Number</t>
  </si>
  <si>
    <t>Tax Classification Code</t>
  </si>
  <si>
    <t>Legal Entity Identifier</t>
  </si>
  <si>
    <t>Accounted Amount in Ledger Currency</t>
  </si>
  <si>
    <t>Sales Order Number</t>
  </si>
  <si>
    <t>Sales Order Date</t>
  </si>
  <si>
    <t>Actual Ship Date</t>
  </si>
  <si>
    <t>Unit of Measure Code</t>
  </si>
  <si>
    <t>Unit of Measure Name</t>
  </si>
  <si>
    <t>Invoicing Rule Name</t>
  </si>
  <si>
    <t>Revenue Scheduling Rule Name</t>
  </si>
  <si>
    <t>Revenue Scheduling Rule Start Date</t>
  </si>
  <si>
    <t>Revenue Scheduling Rule End Date</t>
  </si>
  <si>
    <t>Last Period to Credit</t>
  </si>
  <si>
    <t>Product Type</t>
  </si>
  <si>
    <t>Assessable Value</t>
  </si>
  <si>
    <t>Document Sub Type</t>
  </si>
  <si>
    <t>Default Taxation Country</t>
  </si>
  <si>
    <t>User Defined Fiscal Classification</t>
  </si>
  <si>
    <t>Tax Invoice Number</t>
  </si>
  <si>
    <t>Tax Invoice Date</t>
  </si>
  <si>
    <t>Tax Regime Code</t>
  </si>
  <si>
    <t>Tax Status Code</t>
  </si>
  <si>
    <t>Tax Rate Code</t>
  </si>
  <si>
    <t>Tax Jurisdiction Code</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</si>
  <si>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</si>
  <si>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</si>
  <si>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</si>
  <si>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</si>
  <si>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</si>
  <si>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</si>
  <si>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</si>
  <si>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</si>
  <si>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</si>
  <si>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</si>
  <si>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</si>
  <si>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</si>
  <si>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</si>
  <si>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</si>
  <si>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</si>
  <si>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</si>
  <si>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</si>
  <si>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</si>
  <si>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</si>
  <si>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</si>
  <si>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</si>
  <si>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</si>
  <si>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</si>
  <si>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Receipt Method Name</t>
  </si>
  <si>
    <t>Printing Option</t>
  </si>
  <si>
    <t>Related Batch Source Name</t>
  </si>
  <si>
    <t>Related Transaction Number</t>
  </si>
  <si>
    <t>Reset Transaction Date Flag</t>
  </si>
  <si>
    <t>Payment Server Order Number</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</si>
  <si>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</si>
  <si>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</si>
  <si>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</si>
  <si>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</si>
  <si>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</si>
  <si>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</si>
  <si>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</si>
  <si>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</si>
  <si>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Historical Flag</t>
  </si>
  <si>
    <t>Deferral Exclusion Flag</t>
  </si>
  <si>
    <t>Payment Attributes</t>
  </si>
  <si>
    <t>Invoice Billing Date</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</si>
  <si>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</si>
  <si>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</si>
  <si>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</si>
  <si>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</si>
  <si>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</si>
  <si>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</si>
  <si>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</si>
  <si>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</si>
  <si>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</si>
  <si>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</si>
  <si>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</si>
  <si>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</si>
  <si>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</si>
  <si>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</si>
  <si>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</si>
  <si>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Invoice</t>
  </si>
  <si>
    <t>LINE</t>
  </si>
  <si>
    <t>Sentinal Desktop</t>
  </si>
  <si>
    <t>USD</t>
  </si>
  <si>
    <t>User</t>
  </si>
  <si>
    <t>SIEBEL</t>
  </si>
  <si>
    <t>VAT20</t>
  </si>
  <si>
    <t>Ea</t>
  </si>
  <si>
    <t>US</t>
  </si>
  <si>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</si>
  <si>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</si>
  <si>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</si>
  <si>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</si>
  <si>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</si>
  <si>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</si>
  <si>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</si>
  <si>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</si>
  <si>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</si>
  <si>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</si>
  <si>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</si>
  <si>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</si>
  <si>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</si>
  <si>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</si>
  <si>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</si>
  <si>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</si>
  <si>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</si>
  <si>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</si>
  <si>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</si>
  <si>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</si>
  <si>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</si>
  <si>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</si>
  <si>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</si>
  <si>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</si>
  <si>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</si>
  <si>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9</t>
  </si>
  <si>
    <t>Link To Parent Line Segment 10</t>
  </si>
  <si>
    <t>Link To Parent Line Segment 11</t>
  </si>
  <si>
    <t>Link To Parent Line Segment 12</t>
  </si>
  <si>
    <t>Link To Parent Line Segment 13</t>
  </si>
  <si>
    <t>Link To Parent Line Segment 14</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</si>
  <si>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</si>
  <si>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</si>
  <si>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</si>
  <si>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</si>
  <si>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</si>
  <si>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</si>
  <si>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</si>
  <si>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</si>
  <si>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</si>
  <si>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</si>
  <si>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</si>
  <si>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</si>
  <si>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</si>
  <si>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</si>
  <si>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</si>
  <si>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</si>
  <si>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</si>
  <si>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</si>
  <si>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</si>
  <si>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</si>
  <si>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</si>
  <si>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</si>
  <si>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</si>
  <si>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</si>
  <si>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</si>
  <si>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</si>
  <si>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</si>
  <si>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</si>
  <si>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</si>
  <si>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</si>
  <si>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Salesperson Number</t>
  </si>
  <si>
    <t>Name of Sales Credit Type</t>
  </si>
  <si>
    <t>Sales Credit Amount Split</t>
  </si>
  <si>
    <t>Sales Credit Percentage Split</t>
  </si>
  <si>
    <t>Contingency Code</t>
  </si>
  <si>
    <t>Contingency Expiration Date</t>
  </si>
  <si>
    <t>Contingency Expiration Days</t>
  </si>
  <si>
    <t>Completed Flag</t>
  </si>
  <si>
    <t>Completed By</t>
  </si>
  <si>
    <t>Contingency Expiration Event Date</t>
  </si>
  <si>
    <t>Overview</t>
  </si>
  <si>
    <t>Inventory Item Number</t>
  </si>
  <si>
    <t>Descriptive Flexfield Attribute Category</t>
  </si>
  <si>
    <t>Tax</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</si>
  <si>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</si>
  <si>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</si>
  <si>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</si>
  <si>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</si>
  <si>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</si>
  <si>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Receivables AutoInvoice Import Interface</t>
  </si>
  <si>
    <t>Recommendations for Loading Receivables AutoInvoice Import Interface Data</t>
  </si>
  <si>
    <t>Receivables AutoInvoice Interface Lines</t>
  </si>
  <si>
    <t>Receivables AutoInvoice Interface Line Distributions</t>
  </si>
  <si>
    <t>Receivables AutoInvoice Interface Line Salescredits</t>
  </si>
  <si>
    <t>Receivables AutoInvoice Interface Line Contingencies</t>
  </si>
  <si>
    <t>*Transaction Batch Source Name</t>
  </si>
  <si>
    <t>*Transaction Line Type</t>
  </si>
  <si>
    <t>*Transaction Line Description</t>
  </si>
  <si>
    <t>*Currency Code</t>
  </si>
  <si>
    <t>*Currency Conversion Type</t>
  </si>
  <si>
    <t>*Account Class</t>
  </si>
  <si>
    <t>Percent</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</si>
  <si>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</si>
  <si>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</si>
  <si>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</si>
  <si>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</si>
  <si>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</si>
  <si>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</si>
  <si>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</si>
  <si>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</si>
  <si>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</si>
  <si>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</si>
  <si>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</si>
  <si>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</si>
  <si>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</si>
  <si>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</si>
  <si>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</si>
  <si>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</si>
  <si>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</si>
  <si>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</si>
  <si>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</si>
  <si>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</si>
  <si>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</si>
  <si>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</si>
  <si>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</si>
  <si>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</si>
  <si>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</si>
  <si>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</si>
  <si>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</si>
  <si>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</si>
  <si>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</si>
  <si>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</si>
  <si>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Amount</t>
  </si>
  <si>
    <t>Order Line 1</t>
  </si>
  <si>
    <t>Importing the Loaded Data</t>
  </si>
  <si>
    <t>Link To Parent Line Segment 8</t>
  </si>
  <si>
    <t>Comments</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</si>
  <si>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</si>
  <si>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</si>
  <si>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</si>
  <si>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</si>
  <si>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</si>
  <si>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</si>
  <si>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</si>
  <si>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</si>
  <si>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</si>
  <si>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</si>
  <si>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</si>
  <si>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</si>
  <si>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</si>
  <si>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</si>
  <si>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</si>
  <si>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</si>
  <si>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</si>
  <si>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</si>
  <si>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</si>
  <si>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</si>
  <si>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</si>
  <si>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</si>
  <si>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</si>
  <si>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</si>
  <si>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</si>
  <si>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</si>
  <si>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</si>
  <si>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</si>
  <si>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</si>
  <si>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</si>
  <si>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</si>
  <si>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</si>
  <si>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</si>
  <si>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</si>
  <si>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</si>
  <si>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</si>
  <si>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</si>
  <si>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</si>
  <si>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</si>
  <si>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</si>
  <si>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</si>
  <si>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</si>
  <si>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</si>
  <si>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</si>
  <si>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</si>
  <si>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</si>
  <si>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</si>
  <si>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</si>
  <si>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</si>
  <si>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</si>
  <si>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</si>
  <si>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</si>
  <si>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</si>
  <si>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</si>
  <si>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</si>
  <si>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</si>
  <si>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</si>
  <si>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</si>
  <si>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</si>
  <si>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</si>
  <si>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</si>
  <si>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</si>
  <si>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</si>
  <si>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</si>
  <si>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</si>
  <si>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</si>
  <si>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</si>
  <si>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</si>
  <si>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</si>
  <si>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</si>
  <si>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</si>
  <si>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</si>
  <si>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</si>
  <si>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</si>
  <si>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</si>
  <si>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</si>
  <si>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</si>
  <si>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</si>
  <si>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</si>
  <si>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</si>
  <si>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</si>
  <si>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</si>
  <si>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</si>
  <si>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</si>
  <si>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</si>
  <si>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</si>
  <si>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</si>
  <si>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</si>
  <si>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</si>
  <si>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</si>
  <si>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</si>
  <si>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</si>
  <si>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</si>
  <si>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</si>
  <si>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</si>
  <si>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</si>
  <si>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</si>
  <si>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</si>
  <si>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</si>
  <si>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</si>
  <si>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</si>
  <si>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</si>
  <si>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</si>
  <si>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</si>
  <si>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</si>
  <si>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</si>
  <si>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</si>
  <si>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</si>
  <si>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</si>
  <si>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</si>
  <si>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</si>
  <si>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</si>
  <si>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</si>
  <si>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</si>
  <si>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</si>
  <si>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</si>
  <si>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</si>
  <si>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</si>
  <si>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</si>
  <si>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</si>
  <si>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</si>
  <si>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</si>
  <si>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</si>
  <si>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</si>
  <si>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</si>
  <si>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</si>
  <si>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</si>
  <si>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</si>
  <si>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</si>
  <si>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</si>
  <si>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</si>
  <si>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</si>
  <si>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</si>
  <si>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</si>
  <si>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</si>
  <si>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</si>
  <si>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</si>
  <si>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</si>
  <si>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</si>
  <si>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</si>
  <si>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</si>
  <si>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</si>
  <si>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</si>
  <si>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</si>
  <si>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</si>
  <si>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</si>
  <si>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</si>
  <si>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</si>
  <si>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</si>
  <si>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</si>
  <si>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</si>
  <si>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</si>
  <si>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</si>
  <si>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</si>
  <si>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</si>
  <si>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</si>
  <si>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</si>
  <si>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</si>
  <si>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</si>
  <si>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</si>
  <si>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</si>
  <si>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END</t>
  </si>
  <si>
    <t>Warehouse Code</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</si>
  <si>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</si>
  <si>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</si>
  <si>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</si>
  <si>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Original System Bill-to Customer Address Reference</t>
  </si>
  <si>
    <t>Original System Bill-to Customer Contact Reference</t>
  </si>
  <si>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</si>
  <si>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</si>
  <si>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</si>
  <si>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</si>
  <si>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</si>
  <si>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</si>
  <si>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</si>
  <si>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Last Transaction on Debit Authorization</t>
  </si>
  <si>
    <t>First Party Registration Number</t>
  </si>
  <si>
    <t>Third Party Registration Number</t>
  </si>
  <si>
    <t>Final Discharge Location</t>
  </si>
  <si>
    <t>Bill-to Customer Account Number</t>
  </si>
  <si>
    <t>Bill-to Customer Site Number</t>
  </si>
  <si>
    <t>Ship-to Customer Account Number</t>
  </si>
  <si>
    <t>Ship-to Customer Site Number</t>
  </si>
  <si>
    <t>Sold-to Customer Account Number</t>
  </si>
  <si>
    <t>Bill-to Contact Party Number</t>
  </si>
  <si>
    <t>Ship-to Contact Party Number</t>
  </si>
  <si>
    <t>*Transaction Type Name</t>
  </si>
  <si>
    <t>Payment Terms</t>
  </si>
  <si>
    <t>Number of Revenue Periods</t>
  </si>
  <si>
    <t>Reason Code Meaning</t>
  </si>
  <si>
    <t>Transaction Business Category Code</t>
  </si>
  <si>
    <t>Product Fiscal Classification Code</t>
  </si>
  <si>
    <t>Product Category Code</t>
  </si>
  <si>
    <t>Line Intended Use Code</t>
  </si>
  <si>
    <t>Carrier</t>
  </si>
  <si>
    <t>Shipping Reference</t>
  </si>
  <si>
    <t>Override AutoAccounting Flag</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</si>
  <si>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</si>
  <si>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DOO</t>
  </si>
  <si>
    <t>AR_Trans Source_02C-Dir</t>
  </si>
  <si>
    <t>*Business Unit Name</t>
  </si>
  <si>
    <t>*Contingency Name</t>
  </si>
  <si>
    <t>Vision Operations</t>
  </si>
  <si>
    <t>Fusion Applications</t>
  </si>
  <si>
    <t>Accounted Amount in Ledger Currency</t>
    <phoneticPr fontId="27" type="noConversion"/>
  </si>
  <si>
    <t>Link To Parent Line Context</t>
    <phoneticPr fontId="27" type="noConversion"/>
  </si>
  <si>
    <t>Link To Parent Line Segment 15</t>
    <phoneticPr fontId="27" type="noConversion"/>
  </si>
  <si>
    <t>Inventory Item Segment 2</t>
    <phoneticPr fontId="27" type="noConversion"/>
  </si>
  <si>
    <t>Inventory Item Segment 20</t>
    <phoneticPr fontId="27" type="noConversion"/>
  </si>
  <si>
    <t>Bill To Customer Bank Account Name</t>
    <phoneticPr fontId="27" type="noConversion"/>
  </si>
  <si>
    <t>Line Global Descriptive Flexfield Attribute Category</t>
    <phoneticPr fontId="27" type="noConversion"/>
  </si>
  <si>
    <t>Line Global Descriptive Flexfield Segment 1</t>
    <phoneticPr fontId="27" type="noConversion"/>
  </si>
  <si>
    <t>Line Global Descriptive Flexfield Segment 20</t>
    <phoneticPr fontId="27" type="noConversion"/>
  </si>
  <si>
    <t>Original System Ship-to Customer Reference</t>
    <phoneticPr fontId="27" type="noConversion"/>
  </si>
  <si>
    <t>Original System Bill-to Customer Reference</t>
  </si>
  <si>
    <t>Business Unit Identifier</t>
  </si>
  <si>
    <t>Contingency Identifier</t>
  </si>
  <si>
    <t>Credit Card Token Number</t>
  </si>
  <si>
    <t>Credit Card Expiration Date</t>
  </si>
  <si>
    <t>First Name of the Credit Card Holder</t>
  </si>
  <si>
    <t>Last Name of the Credit Card Holder</t>
  </si>
  <si>
    <t>Credit Card Issuer Code</t>
  </si>
  <si>
    <t>Masked Credit Card Number</t>
  </si>
  <si>
    <t>Credit Card Authorization Request Identifier</t>
  </si>
  <si>
    <t>Credit Card Voice Authorization Code</t>
  </si>
  <si>
    <t>AR_Trans Source_04A-Dir</t>
  </si>
  <si>
    <t>30 Net</t>
  </si>
  <si>
    <t>LEGACY ORDER ENTRY</t>
  </si>
  <si>
    <t>2012/06/28</t>
  </si>
  <si>
    <t>Sentinal Desktop Monitor</t>
  </si>
  <si>
    <t>Order Line 2</t>
  </si>
  <si>
    <t>Sentinal Keyboard</t>
  </si>
  <si>
    <t>Order Line 3</t>
  </si>
  <si>
    <t>Sentinal Mouse</t>
  </si>
  <si>
    <t>Order Line 4</t>
  </si>
  <si>
    <t>Sentinal Speakers</t>
  </si>
  <si>
    <t>Order Line 5</t>
  </si>
  <si>
    <t>Sentinal Docking station</t>
  </si>
  <si>
    <t>Order Line 6</t>
  </si>
  <si>
    <t>Office Supplies - Student Desk</t>
  </si>
  <si>
    <t>Order Line 7</t>
  </si>
  <si>
    <t>Office Supplies - Desk Lamp</t>
  </si>
  <si>
    <t>Order Line 8</t>
  </si>
  <si>
    <t>Office Supplies - Office chair</t>
  </si>
  <si>
    <t>Order Line 9</t>
  </si>
  <si>
    <t xml:space="preserve">Office Supplies - notebook </t>
  </si>
  <si>
    <t>Order Line 10</t>
  </si>
  <si>
    <t>Office Supplies - Router</t>
  </si>
  <si>
    <t>Order Line 11</t>
  </si>
  <si>
    <t>Office Supplies Floor Lamps</t>
  </si>
  <si>
    <t>Order Line 12</t>
  </si>
  <si>
    <t>Office Supplies - Box of hanging folders</t>
  </si>
  <si>
    <t>Order Line 13</t>
  </si>
  <si>
    <t>Misc Office Supplies</t>
  </si>
  <si>
    <t>Order Line 14</t>
  </si>
  <si>
    <t>Order Line 15</t>
  </si>
  <si>
    <t>Order Line 16</t>
  </si>
  <si>
    <t>Order Line 17</t>
  </si>
  <si>
    <t>Order Line 18</t>
  </si>
  <si>
    <t>Order Line 19</t>
  </si>
  <si>
    <t>Order Line 20</t>
  </si>
  <si>
    <t>Order Line 21</t>
  </si>
  <si>
    <t>Order Line 22</t>
  </si>
  <si>
    <t>Order Line 23</t>
  </si>
  <si>
    <t>Order Line 24</t>
  </si>
  <si>
    <t>Order Line 25</t>
  </si>
  <si>
    <t>Order Line 26</t>
  </si>
  <si>
    <t>Order Line 27</t>
  </si>
  <si>
    <t>Order Line 28</t>
  </si>
  <si>
    <t>Order Line 29</t>
  </si>
  <si>
    <t>Order Line 30</t>
  </si>
  <si>
    <t>INV1001</t>
  </si>
  <si>
    <t>1001</t>
  </si>
  <si>
    <t>1024</t>
  </si>
  <si>
    <t>Sentinal Desktop - bill in arrears</t>
  </si>
  <si>
    <t>Line1</t>
  </si>
  <si>
    <t>AR_AutoRec_04</t>
  </si>
  <si>
    <t>PRI</t>
  </si>
  <si>
    <t>AS54650</t>
  </si>
  <si>
    <t>INV1002</t>
  </si>
  <si>
    <t>Invoice Rule</t>
  </si>
  <si>
    <t>Arrears Invoice</t>
  </si>
  <si>
    <t>3 Months, Deferred</t>
  </si>
  <si>
    <t>IRR_30/60/90</t>
  </si>
  <si>
    <t>INV1003</t>
  </si>
  <si>
    <t>Memoline</t>
  </si>
  <si>
    <t>Fixed Bid Project</t>
  </si>
  <si>
    <t>INV1004</t>
  </si>
  <si>
    <t>FREIGHT</t>
  </si>
  <si>
    <t>Line1Freight</t>
  </si>
  <si>
    <t>Duluth, Minnesota</t>
  </si>
  <si>
    <t>Air Freight</t>
  </si>
  <si>
    <t>M400897629870</t>
  </si>
  <si>
    <t>INV1005</t>
  </si>
  <si>
    <t>Distribution Freight</t>
  </si>
  <si>
    <t>Freight</t>
  </si>
  <si>
    <t>Parcel Post</t>
  </si>
  <si>
    <t>M400897629568</t>
  </si>
  <si>
    <t>INV1006</t>
  </si>
  <si>
    <t>Y</t>
  </si>
  <si>
    <t>TAX</t>
  </si>
  <si>
    <t>Line1Tax</t>
  </si>
  <si>
    <t>Sales Transaction</t>
  </si>
  <si>
    <t>Computers</t>
  </si>
  <si>
    <t>GOODS</t>
  </si>
  <si>
    <t>RRF5-IN-TB</t>
  </si>
  <si>
    <t>FUSION_US SALES AND USE</t>
  </si>
  <si>
    <t>FUSION_US STATE SALES</t>
  </si>
  <si>
    <t>FUSION_US STATE SALES STD</t>
  </si>
  <si>
    <t>FUSION_US NY STATE SALES</t>
  </si>
  <si>
    <t>INV1007</t>
  </si>
  <si>
    <t>INV1008</t>
  </si>
  <si>
    <t>Sentinal Desktop in Euro</t>
  </si>
  <si>
    <t>EUR</t>
  </si>
  <si>
    <t>Corporate</t>
  </si>
  <si>
    <t>INV1009</t>
  </si>
  <si>
    <t>INV1010</t>
  </si>
  <si>
    <t>INV1011</t>
  </si>
  <si>
    <t>INV1012</t>
  </si>
  <si>
    <t>Line2</t>
  </si>
  <si>
    <t>Line3</t>
  </si>
  <si>
    <t>INV1013</t>
  </si>
  <si>
    <t>Freight Line1</t>
  </si>
  <si>
    <t>INV1014</t>
  </si>
  <si>
    <t>Advance Invoice</t>
  </si>
  <si>
    <t>IRR_Immediate</t>
  </si>
  <si>
    <t>INV1015</t>
  </si>
  <si>
    <t>INV1016</t>
  </si>
  <si>
    <t>Debit Memo</t>
  </si>
  <si>
    <t>DM1011</t>
  </si>
  <si>
    <t>DM1012</t>
  </si>
  <si>
    <t>CHARGES</t>
  </si>
  <si>
    <t>Credit Memo</t>
  </si>
  <si>
    <t>CM1001</t>
  </si>
  <si>
    <t>CMLine1</t>
  </si>
  <si>
    <t>PRORATE</t>
  </si>
  <si>
    <t>LIFO</t>
  </si>
  <si>
    <t>CANCELLATION</t>
  </si>
  <si>
    <t>CM1002</t>
  </si>
  <si>
    <t>Line1Charege</t>
  </si>
  <si>
    <t>CM1003</t>
  </si>
  <si>
    <t>CM1004</t>
  </si>
  <si>
    <t>FIFO</t>
  </si>
  <si>
    <t>CM1005</t>
  </si>
  <si>
    <t>CM1006</t>
  </si>
  <si>
    <t>CM1007</t>
  </si>
  <si>
    <t>REV</t>
  </si>
  <si>
    <t>01</t>
  </si>
  <si>
    <t>000</t>
  </si>
  <si>
    <t>0000</t>
  </si>
  <si>
    <t>REC</t>
  </si>
  <si>
    <t>4120</t>
  </si>
  <si>
    <t>4150</t>
  </si>
  <si>
    <t>4130</t>
  </si>
  <si>
    <t>7220</t>
  </si>
  <si>
    <t>1212</t>
  </si>
  <si>
    <t>UNBILL</t>
  </si>
  <si>
    <t>4900</t>
  </si>
  <si>
    <t>1232</t>
  </si>
  <si>
    <t>1245</t>
  </si>
  <si>
    <t>100000011882019</t>
  </si>
  <si>
    <t>Quota Sales Credit</t>
  </si>
  <si>
    <t>Non-quota Sales Credit</t>
  </si>
  <si>
    <t>Delivery</t>
  </si>
  <si>
    <t>Cancellation</t>
  </si>
  <si>
    <t>Refund</t>
  </si>
  <si>
    <t>Installation</t>
  </si>
  <si>
    <t>Fiscal Funding Clause</t>
  </si>
  <si>
    <t>Receivables Transaction Region Information Flexfield Number Segment 1</t>
  </si>
  <si>
    <t>Receivables Transaction Region Information Flexfield Number Segment 2</t>
  </si>
  <si>
    <t>Receivables Transaction Region Information Flexfield Number Segment 3</t>
  </si>
  <si>
    <t>Receivables Transaction Region Information Flexfield Number Segment 4</t>
  </si>
  <si>
    <t>Receivables Transaction Region Information Flexfield Number Segment 5</t>
  </si>
  <si>
    <t>Receivables Transaction Region Information Flexfield Number Segment 6</t>
  </si>
  <si>
    <t>Receivables Transaction Region Information Flexfield Number Segment 7</t>
  </si>
  <si>
    <t>Receivables Transaction Region Information Flexfield Number Segment 8</t>
  </si>
  <si>
    <t>Receivables Transaction Region Information Flexfield Number Segment 9</t>
  </si>
  <si>
    <t>Receivables Transaction Region Information Flexfield Number Segment 10</t>
  </si>
  <si>
    <t>Receivables Transaction Region Information Flexfield Number Segment 11</t>
  </si>
  <si>
    <t>Receivables Transaction Region Information Flexfield Number Segment 12</t>
  </si>
  <si>
    <t>Receivables Transaction Region Information Flexfield Date Segment 1</t>
  </si>
  <si>
    <t>Receivables Transaction Region Information Flexfield Date Segment 2</t>
  </si>
  <si>
    <t>Receivables Transaction Region Information Flexfield Date Segment 3</t>
  </si>
  <si>
    <t>Receivables Transaction Region Information Flexfield Date Segment 4</t>
  </si>
  <si>
    <t>Receivables Transaction Region Information Flexfield Date Segment 5</t>
  </si>
  <si>
    <t>Receivables Transaction Line Region Information Flexfield Number Segment 1</t>
  </si>
  <si>
    <t>Receivables Transaction Line Region Information Flexfield Number Segment 2</t>
  </si>
  <si>
    <t>Receivables Transaction Line Region Information Flexfield Number Segment 3</t>
  </si>
  <si>
    <t>Receivables Transaction Line Region Information Flexfield Number Segment 4</t>
  </si>
  <si>
    <t>Receivables Transaction Line Region Information Flexfield Number Segment 5</t>
  </si>
  <si>
    <t>Receivables Transaction Line Region Information Flexfield Date Segment 1</t>
  </si>
  <si>
    <t>Receivables Transaction Line Region Information Flexfield Date Segment 2</t>
  </si>
  <si>
    <t>Receivables Transaction Line Region Information Flexfield Date Segment 3</t>
  </si>
  <si>
    <t>Receivables Transaction Line Region Information Flexfield Date Segment 4</t>
  </si>
  <si>
    <t>Receivables Transaction Line Region Information Flexfield Date Segment 5</t>
  </si>
  <si>
    <t>Freight Charge</t>
  </si>
  <si>
    <t>Insurance Charge</t>
  </si>
  <si>
    <t>Packing Charge</t>
  </si>
  <si>
    <t>Miscellaneous Charge</t>
  </si>
  <si>
    <t>Commercial Discount</t>
  </si>
  <si>
    <t>Enforce Chronological Document Sequencing</t>
  </si>
  <si>
    <t>Notes from Source</t>
  </si>
  <si>
    <t>Interface Status</t>
  </si>
  <si>
    <t>Payments transaction identifier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</si>
</sst>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3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
      <sz val="9"/>
      <color theme="1"/>
      <name val="Tahoma"/>
      <family val="2"/>
    </font>
    <font>
      <b/>
      <sz val="9"/>
      <color indexed="81"/>
      <name val="Tahoma"/>
      <charset val="1"/>
    </font>
    <font>
      <sz val="9"/>
      <color indexed="81"/>
      <name val="Tahoma"/>
      <charset val="1"/>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72">
    <xf numFmtId="0" fontId="0" fillId="0" borderId="0" xfId="0"/>
    <xf numFmtId="0" fontId="0" fillId="0" borderId="0" xfId="0"/>
    <xf numFmtId="1" fontId="0" fillId="0" borderId="0" xfId="0" applyNumberFormat="1"/>
    <xf numFmtId="0" fontId="1" fillId="33" borderId="0" xfId="43"/>
    <xf numFmtId="0" fontId="20" fillId="33" borderId="0" xfId="44"/>
    <xf numFmtId="0" fontId="21" fillId="33" borderId="0" xfId="45"/>
    <xf numFmtId="0" fontId="1" fillId="33" borderId="0" xfId="43" applyAlignment="1">
      <alignment horizontal="left" vertical="top" wrapText="1"/>
    </xf>
    <xf numFmtId="0" fontId="0" fillId="33" borderId="0" xfId="43" applyFont="1"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Border="1" applyAlignment="1">
      <alignment horizontal="left"/>
    </xf>
    <xf numFmtId="0" fontId="21" fillId="34" borderId="0" xfId="0" applyNumberFormat="1" applyFont="1" applyFill="1" applyBorder="1" applyAlignment="1">
      <alignment horizontal="left"/>
    </xf>
    <xf numFmtId="0" fontId="0" fillId="33" borderId="0" xfId="43" applyFont="1"/>
    <xf numFmtId="49" fontId="0" fillId="0" borderId="0" xfId="0" applyNumberFormat="1"/>
    <xf numFmtId="164" fontId="21" fillId="34" borderId="0" xfId="0" applyNumberFormat="1" applyFont="1" applyFill="1" applyBorder="1" applyAlignment="1">
      <alignment horizontal="left"/>
    </xf>
    <xf numFmtId="2" fontId="21" fillId="34" borderId="0" xfId="0" applyNumberFormat="1" applyFont="1" applyFill="1" applyBorder="1" applyAlignment="1">
      <alignment horizontal="left"/>
    </xf>
    <xf numFmtId="2" fontId="0" fillId="0" borderId="0" xfId="0" applyNumberFormat="1"/>
    <xf numFmtId="2" fontId="0" fillId="33" borderId="0" xfId="43" applyNumberFormat="1" applyFont="1"/>
    <xf numFmtId="0" fontId="1" fillId="33" borderId="0" xfId="43" applyAlignment="1"/>
    <xf numFmtId="0" fontId="0" fillId="0" borderId="0" xfId="0" applyAlignment="1"/>
    <xf numFmtId="164" fontId="1" fillId="33" borderId="0" xfId="43" applyNumberFormat="1" applyAlignment="1"/>
    <xf numFmtId="2" fontId="1" fillId="33" borderId="0" xfId="43" applyNumberFormat="1" applyAlignment="1"/>
    <xf numFmtId="0" fontId="20" fillId="33" borderId="0" xfId="44" applyAlignment="1"/>
    <xf numFmtId="0" fontId="22" fillId="33" borderId="0" xfId="46" applyAlignment="1"/>
    <xf numFmtId="0" fontId="0" fillId="33" borderId="0" xfId="43" applyFont="1" applyAlignment="1"/>
    <xf numFmtId="164" fontId="0" fillId="0" borderId="0" xfId="0" applyNumberFormat="1" applyAlignment="1"/>
    <xf numFmtId="2" fontId="0" fillId="0" borderId="0" xfId="0" applyNumberFormat="1" applyAlignment="1"/>
    <xf numFmtId="1" fontId="0" fillId="0" borderId="0" xfId="0" applyNumberFormat="1" applyAlignment="1"/>
    <xf numFmtId="0" fontId="1" fillId="33" borderId="0" xfId="43"/>
    <xf numFmtId="0" fontId="20" fillId="33" borderId="0" xfId="43" applyFont="1"/>
    <xf numFmtId="0" fontId="1" fillId="33" borderId="0" xfId="43"/>
    <xf numFmtId="0" fontId="1" fillId="33" borderId="0" xfId="43"/>
    <xf numFmtId="1" fontId="25" fillId="0" borderId="0" xfId="0" applyNumberFormat="1" applyFont="1" applyFill="1"/>
    <xf numFmtId="0" fontId="25" fillId="0" borderId="0" xfId="0" applyFont="1"/>
    <xf numFmtId="0" fontId="25" fillId="0" borderId="0" xfId="0" applyFont="1" applyFill="1"/>
    <xf numFmtId="49" fontId="25" fillId="0" borderId="0" xfId="0" applyNumberFormat="1" applyFont="1"/>
    <xf numFmtId="49" fontId="25" fillId="0" borderId="0" xfId="0" applyNumberFormat="1" applyFont="1" applyFill="1"/>
    <xf numFmtId="2" fontId="25" fillId="0" borderId="0" xfId="0" applyNumberFormat="1" applyFont="1" applyFill="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1" fontId="0" fillId="0" borderId="0" xfId="0" applyNumberFormat="1" applyFill="1"/>
    <xf numFmtId="0" fontId="0" fillId="0" borderId="0" xfId="0" applyFill="1"/>
    <xf numFmtId="164" fontId="0" fillId="0" borderId="0" xfId="0" applyNumberFormat="1" applyFill="1"/>
    <xf numFmtId="49" fontId="0" fillId="0" borderId="0" xfId="0" applyNumberFormat="1" applyFill="1" applyAlignment="1">
      <alignment wrapText="1"/>
    </xf>
    <xf numFmtId="2" fontId="0" fillId="0" borderId="0" xfId="0" applyNumberFormat="1" applyFill="1"/>
    <xf numFmtId="1" fontId="0" fillId="0" borderId="0" xfId="0" applyNumberFormat="1" applyFill="1" applyAlignment="1"/>
    <xf numFmtId="0" fontId="0" fillId="0" borderId="0" xfId="0" applyFill="1" applyAlignment="1">
      <alignment horizontal="left"/>
    </xf>
    <xf numFmtId="49" fontId="0" fillId="0" borderId="0" xfId="0" applyNumberFormat="1" applyFill="1"/>
    <xf numFmtId="0" fontId="1" fillId="0" borderId="0" xfId="43" applyNumberFormat="1" applyFill="1"/>
    <xf numFmtId="0" fontId="0" fillId="0" borderId="0" xfId="0" applyNumberFormat="1" applyFill="1"/>
    <xf numFmtId="0" fontId="1" fillId="33" borderId="0" xfId="43"/>
    <xf numFmtId="49" fontId="1" fillId="0" borderId="0" xfId="43" applyNumberFormat="1" applyFill="1"/>
    <xf numFmtId="49" fontId="21" fillId="34" borderId="0" xfId="0" applyNumberFormat="1" applyFont="1" applyFill="1" applyBorder="1" applyAlignment="1">
      <alignment horizontal="left"/>
    </xf>
    <xf numFmtId="164" fontId="25" fillId="0" borderId="0" xfId="0" applyNumberFormat="1" applyFont="1" applyFill="1"/>
    <xf numFmtId="1" fontId="25" fillId="0" borderId="0" xfId="0" applyNumberFormat="1" applyFont="1" applyFill="1" applyAlignment="1"/>
    <xf numFmtId="0" fontId="25" fillId="0" borderId="0" xfId="0" applyNumberFormat="1" applyFont="1" applyFill="1"/>
    <xf numFmtId="14" fontId="25" fillId="0" borderId="0" xfId="0" applyNumberFormat="1" applyFont="1" applyFill="1"/>
    <xf numFmtId="0" fontId="25" fillId="0" borderId="0" xfId="0" applyFont="1" applyFill="1" applyBorder="1" applyAlignment="1">
      <alignment wrapText="1"/>
    </xf>
    <xf numFmtId="0" fontId="0" fillId="33" borderId="0" xfId="43" applyFont="1" applyAlignment="1">
      <alignment horizontal="left" vertical="top" wrapText="1"/>
    </xf>
    <xf numFmtId="0" fontId="21" fillId="33" borderId="0" xfId="45"/>
    <xf numFmtId="0" fontId="1" fillId="33" borderId="0" xfId="43"/>
    <xf numFmtId="0" fontId="25" fillId="33" borderId="0" xfId="43" applyFont="1" applyAlignment="1">
      <alignment horizontal="left" vertical="top" wrapText="1"/>
    </xf>
    <xf numFmtId="0" fontId="23" fillId="33" borderId="0" xfId="45" applyFont="1"/>
  </cellXfs>
  <cellStyles count="48">
    <cellStyle name="* Required" xfId="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te" xfId="15" builtinId="10" customBuiltin="1"/>
    <cellStyle name="Output" xfId="10" builtinId="21" customBuiltin="1"/>
    <cellStyle name="PAGE_HEADER" xfId="44"/>
    <cellStyle name="SUB HEADER" xfId="45"/>
    <cellStyle name="TABLE HEADER" xfId="47"/>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129540</xdr:colOff>
          <xdr:row>9</xdr:row>
          <xdr:rowOff>30480</xdr:rowOff>
        </xdr:from>
        <xdr:to>
          <xdr:col>2</xdr:col>
          <xdr:colOff>327660</xdr:colOff>
          <xdr:row>10</xdr:row>
          <xdr:rowOff>0</xdr:rowOff>
        </xdr:to>
        <xdr:sp macro="" textlink="">
          <xdr:nvSpPr>
            <xdr:cNvPr id="10241" name="CommandButton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Q30"/>
  <sheetViews>
    <sheetView workbookViewId="0">
      <selection activeCell="B5" sqref="B5:C5"/>
    </sheetView>
  </sheetViews>
  <sheetFormatPr defaultColWidth="9.109375" defaultRowHeight="14.4"/>
  <cols>
    <col min="1" max="1" width="1.5546875" style="1" customWidth="1"/>
    <col min="2" max="2" width="21.5546875" style="1" customWidth="1"/>
    <col min="3" max="3" width="156" style="1" customWidth="1"/>
    <col min="4" max="16384" width="9.109375" style="1"/>
  </cols>
  <sheetData>
    <row r="1" spans="1:251" s="3" customFormat="1" ht="6" customHeight="1">
      <c r="AM1" s="32" t="s">
        <v>389</v>
      </c>
      <c r="CV1" s="32" t="s">
        <v>389</v>
      </c>
      <c r="IQ1" s="32" t="s">
        <v>389</v>
      </c>
    </row>
    <row r="2" spans="1:251" s="3" customFormat="1" ht="16.5" customHeight="1">
      <c r="C2" s="4" t="s">
        <v>431</v>
      </c>
      <c r="AM2" s="32" t="s">
        <v>389</v>
      </c>
      <c r="CV2" s="32" t="s">
        <v>389</v>
      </c>
      <c r="IQ2" s="32" t="s">
        <v>389</v>
      </c>
    </row>
    <row r="3" spans="1:251" s="30" customFormat="1" ht="16.5" customHeight="1">
      <c r="C3" s="31" t="s">
        <v>180</v>
      </c>
      <c r="AM3" s="32" t="s">
        <v>389</v>
      </c>
      <c r="CV3" s="32" t="s">
        <v>389</v>
      </c>
      <c r="IQ3" s="32" t="s">
        <v>389</v>
      </c>
    </row>
    <row r="4" spans="1:251" s="3" customFormat="1" ht="18" customHeight="1">
      <c r="B4" s="68" t="s">
        <v>171</v>
      </c>
      <c r="C4" s="68"/>
      <c r="D4" s="5"/>
      <c r="AM4" s="32" t="s">
        <v>389</v>
      </c>
      <c r="CV4" s="32" t="s">
        <v>389</v>
      </c>
      <c r="IQ4" s="32" t="s">
        <v>389</v>
      </c>
    </row>
    <row r="5" spans="1:251" s="3" customFormat="1" ht="97.5" customHeight="1">
      <c r="B5" s="67" t="s">
        <v>391</v>
      </c>
      <c r="C5" s="67"/>
      <c r="D5" s="6"/>
      <c r="AM5" s="32" t="s">
        <v>389</v>
      </c>
      <c r="CV5" s="32" t="s">
        <v>389</v>
      </c>
      <c r="IQ5" s="32" t="s">
        <v>389</v>
      </c>
    </row>
    <row r="6" spans="1:251" s="3" customFormat="1" ht="24" customHeight="1">
      <c r="B6" s="68" t="s">
        <v>175</v>
      </c>
      <c r="C6" s="68"/>
      <c r="D6" s="5"/>
      <c r="AM6" s="32" t="s">
        <v>389</v>
      </c>
      <c r="CV6" s="32" t="s">
        <v>389</v>
      </c>
      <c r="IQ6" s="32" t="s">
        <v>389</v>
      </c>
    </row>
    <row r="7" spans="1:251" s="3" customFormat="1" ht="46.5" customHeight="1">
      <c r="B7" s="67" t="s">
        <v>176</v>
      </c>
      <c r="C7" s="67"/>
      <c r="D7" s="7"/>
      <c r="AM7" s="32" t="s">
        <v>389</v>
      </c>
      <c r="CV7" s="32" t="s">
        <v>389</v>
      </c>
      <c r="IQ7" s="32" t="s">
        <v>389</v>
      </c>
    </row>
    <row r="8" spans="1:251" s="3" customFormat="1" ht="24" customHeight="1">
      <c r="B8" s="68" t="s">
        <v>177</v>
      </c>
      <c r="C8" s="68"/>
      <c r="D8" s="6"/>
      <c r="AM8" s="32" t="s">
        <v>389</v>
      </c>
      <c r="CV8" s="32" t="s">
        <v>389</v>
      </c>
      <c r="IQ8" s="32" t="s">
        <v>389</v>
      </c>
    </row>
    <row r="9" spans="1:251" s="3" customFormat="1" ht="45" customHeight="1">
      <c r="B9" s="67" t="s">
        <v>392</v>
      </c>
      <c r="C9" s="67"/>
      <c r="D9" s="7"/>
      <c r="AM9" s="32" t="s">
        <v>389</v>
      </c>
      <c r="CV9" s="32" t="s">
        <v>389</v>
      </c>
      <c r="IQ9" s="32" t="s">
        <v>389</v>
      </c>
    </row>
    <row r="10" spans="1:251" s="3" customFormat="1" ht="51" customHeight="1">
      <c r="B10" s="69"/>
      <c r="C10" s="69"/>
      <c r="AM10" s="32" t="s">
        <v>389</v>
      </c>
      <c r="CV10" s="32" t="s">
        <v>389</v>
      </c>
      <c r="IQ10" s="32" t="s">
        <v>389</v>
      </c>
    </row>
    <row r="11" spans="1:251" s="3" customFormat="1" ht="24" customHeight="1">
      <c r="B11" s="68" t="s">
        <v>178</v>
      </c>
      <c r="C11" s="68"/>
      <c r="D11" s="5"/>
      <c r="AM11" s="32" t="s">
        <v>389</v>
      </c>
      <c r="CV11" s="32" t="s">
        <v>389</v>
      </c>
      <c r="IQ11" s="32" t="s">
        <v>389</v>
      </c>
    </row>
    <row r="12" spans="1:251" s="3" customFormat="1" ht="230.25" customHeight="1">
      <c r="B12" s="70" t="s">
        <v>425</v>
      </c>
      <c r="C12" s="70"/>
      <c r="D12" s="6"/>
      <c r="AM12" s="32" t="s">
        <v>389</v>
      </c>
      <c r="CV12" s="32" t="s">
        <v>389</v>
      </c>
      <c r="IQ12" s="32" t="s">
        <v>389</v>
      </c>
    </row>
    <row r="13" spans="1:251" s="3" customFormat="1" ht="24" customHeight="1">
      <c r="B13" s="68" t="s">
        <v>181</v>
      </c>
      <c r="C13" s="68"/>
      <c r="D13" s="5"/>
      <c r="AM13" s="32" t="s">
        <v>389</v>
      </c>
      <c r="CV13" s="32" t="s">
        <v>389</v>
      </c>
      <c r="IQ13" s="32" t="s">
        <v>389</v>
      </c>
    </row>
    <row r="14" spans="1:251" s="3" customFormat="1" ht="405" customHeight="1">
      <c r="A14" s="8"/>
      <c r="B14" s="67" t="s">
        <v>393</v>
      </c>
      <c r="C14" s="67"/>
      <c r="D14" s="9"/>
      <c r="AM14" s="32" t="s">
        <v>389</v>
      </c>
      <c r="CV14" s="32" t="s">
        <v>389</v>
      </c>
      <c r="IQ14" s="32" t="s">
        <v>389</v>
      </c>
    </row>
    <row r="15" spans="1:251" s="8" customFormat="1" ht="18" customHeight="1">
      <c r="B15" s="71" t="s">
        <v>225</v>
      </c>
      <c r="C15" s="71"/>
      <c r="D15" s="71"/>
      <c r="AM15" s="8" t="s">
        <v>389</v>
      </c>
      <c r="CV15" s="8" t="s">
        <v>389</v>
      </c>
      <c r="IQ15" s="8" t="s">
        <v>389</v>
      </c>
    </row>
    <row r="16" spans="1:251" s="8" customFormat="1" ht="320.25" customHeight="1">
      <c r="B16" s="67" t="s">
        <v>388</v>
      </c>
      <c r="C16" s="67"/>
      <c r="D16" s="9"/>
      <c r="AM16" s="8" t="s">
        <v>389</v>
      </c>
      <c r="CV16" s="8" t="s">
        <v>389</v>
      </c>
      <c r="IQ16" s="8" t="s">
        <v>389</v>
      </c>
    </row>
    <row r="17" spans="39:251">
      <c r="AM17" s="1" t="s">
        <v>389</v>
      </c>
      <c r="CV17" s="1" t="s">
        <v>389</v>
      </c>
      <c r="IQ17" s="1" t="s">
        <v>389</v>
      </c>
    </row>
    <row r="18" spans="39:251">
      <c r="AM18" s="1" t="s">
        <v>389</v>
      </c>
      <c r="CV18" s="1" t="s">
        <v>389</v>
      </c>
      <c r="IQ18" s="1" t="s">
        <v>389</v>
      </c>
    </row>
    <row r="19" spans="39:251">
      <c r="AM19" s="1" t="s">
        <v>389</v>
      </c>
      <c r="CV19" s="1" t="s">
        <v>389</v>
      </c>
      <c r="IQ19" s="1" t="s">
        <v>389</v>
      </c>
    </row>
    <row r="20" spans="39:251">
      <c r="AM20" s="1" t="s">
        <v>389</v>
      </c>
      <c r="CV20" s="1" t="s">
        <v>389</v>
      </c>
      <c r="IQ20" s="1" t="s">
        <v>389</v>
      </c>
    </row>
    <row r="21" spans="39:251">
      <c r="AM21" s="1" t="s">
        <v>389</v>
      </c>
      <c r="CV21" s="1" t="s">
        <v>389</v>
      </c>
      <c r="IQ21" s="1" t="s">
        <v>389</v>
      </c>
    </row>
    <row r="22" spans="39:251">
      <c r="AM22" s="1" t="s">
        <v>389</v>
      </c>
      <c r="CV22" s="1" t="s">
        <v>389</v>
      </c>
      <c r="IQ22" s="1" t="s">
        <v>389</v>
      </c>
    </row>
    <row r="23" spans="39:251">
      <c r="AM23" s="1" t="s">
        <v>389</v>
      </c>
      <c r="CV23" s="1" t="s">
        <v>389</v>
      </c>
      <c r="IQ23" s="1" t="s">
        <v>389</v>
      </c>
    </row>
    <row r="24" spans="39:251">
      <c r="AM24" s="1" t="s">
        <v>389</v>
      </c>
      <c r="CV24" s="1" t="s">
        <v>389</v>
      </c>
      <c r="IQ24" s="1" t="s">
        <v>389</v>
      </c>
    </row>
    <row r="25" spans="39:251">
      <c r="AM25" s="1" t="s">
        <v>389</v>
      </c>
      <c r="CV25" s="1" t="s">
        <v>389</v>
      </c>
      <c r="IQ25" s="1" t="s">
        <v>389</v>
      </c>
    </row>
    <row r="26" spans="39:251">
      <c r="AM26" s="1" t="s">
        <v>389</v>
      </c>
      <c r="CV26" s="1" t="s">
        <v>389</v>
      </c>
      <c r="IQ26" s="1" t="s">
        <v>389</v>
      </c>
    </row>
    <row r="27" spans="39:251">
      <c r="AM27" s="1" t="s">
        <v>389</v>
      </c>
      <c r="CV27" s="1" t="s">
        <v>389</v>
      </c>
      <c r="IQ27" s="1" t="s">
        <v>389</v>
      </c>
    </row>
    <row r="28" spans="39:251">
      <c r="AM28" s="1" t="s">
        <v>389</v>
      </c>
      <c r="CV28" s="1" t="s">
        <v>389</v>
      </c>
      <c r="IQ28" s="1" t="s">
        <v>389</v>
      </c>
    </row>
    <row r="29" spans="39:251">
      <c r="AM29" s="1" t="s">
        <v>389</v>
      </c>
      <c r="CV29" s="1" t="s">
        <v>389</v>
      </c>
      <c r="IQ29" s="1" t="s">
        <v>389</v>
      </c>
    </row>
    <row r="30" spans="39:251">
      <c r="CV30" s="1" t="s">
        <v>389</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autoLine="0" autoPict="0" r:id="rId5">
            <anchor moveWithCells="1">
              <from>
                <xdr:col>1</xdr:col>
                <xdr:colOff>129540</xdr:colOff>
                <xdr:row>9</xdr:row>
                <xdr:rowOff>30480</xdr:rowOff>
              </from>
              <to>
                <xdr:col>2</xdr:col>
                <xdr:colOff>327660</xdr:colOff>
                <xdr:row>10</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T1130"/>
  <sheetViews>
    <sheetView tabSelected="1" topLeftCell="LM1" zoomScaleNormal="100" workbookViewId="0">
      <selection activeCell="LQ5" sqref="LQ5"/>
    </sheetView>
  </sheetViews>
  <sheetFormatPr defaultColWidth="9.109375" defaultRowHeight="14.4"/>
  <cols>
    <col min="1" max="1" width="22.6640625" style="49" hidden="1" customWidth="1"/>
    <col min="2" max="2" width="57.6640625" style="49" bestFit="1" customWidth="1"/>
    <col min="3" max="3" width="32.109375" style="50" bestFit="1" customWidth="1"/>
    <col min="4" max="4" width="24" style="50" bestFit="1" customWidth="1"/>
    <col min="5" max="5" width="15.44140625" style="50" bestFit="1" customWidth="1"/>
    <col min="6" max="6" width="17" style="51" bestFit="1" customWidth="1"/>
    <col min="7" max="7" width="16.5546875" style="51" bestFit="1" customWidth="1"/>
    <col min="8" max="8" width="19.6640625" style="50" bestFit="1" customWidth="1"/>
    <col min="9" max="9" width="41.6640625" style="52" bestFit="1" customWidth="1"/>
    <col min="10" max="10" width="50.44140625" style="52" bestFit="1" customWidth="1"/>
    <col min="11" max="11" width="49.88671875" style="52" bestFit="1" customWidth="1"/>
    <col min="12" max="12" width="43.33203125" style="52" bestFit="1" customWidth="1"/>
    <col min="13" max="13" width="51.88671875" style="52" bestFit="1" customWidth="1"/>
    <col min="14" max="14" width="51.44140625" style="52" bestFit="1" customWidth="1"/>
    <col min="15" max="15" width="51.88671875" style="52" bestFit="1" customWidth="1"/>
    <col min="16" max="16" width="60.44140625" style="52" bestFit="1" customWidth="1"/>
    <col min="17" max="17" width="60" style="52" bestFit="1" customWidth="1"/>
    <col min="18" max="18" width="43.33203125" style="52" bestFit="1" customWidth="1"/>
    <col min="19" max="19" width="51.88671875" style="52" bestFit="1" customWidth="1"/>
    <col min="20" max="20" width="32.33203125" style="52" bestFit="1" customWidth="1"/>
    <col min="21" max="22" width="28" style="52" bestFit="1" customWidth="1"/>
    <col min="23" max="23" width="33.88671875" style="52" bestFit="1" customWidth="1"/>
    <col min="24" max="25" width="29.44140625" style="52" bestFit="1" customWidth="1"/>
    <col min="26" max="26" width="33.88671875" style="52" bestFit="1" customWidth="1"/>
    <col min="27" max="27" width="22.6640625" style="50" bestFit="1" customWidth="1"/>
    <col min="28" max="28" width="36.5546875" style="50" bestFit="1" customWidth="1"/>
    <col min="29" max="29" width="15.88671875" style="50" bestFit="1" customWidth="1"/>
    <col min="30" max="30" width="27" style="50" bestFit="1" customWidth="1"/>
    <col min="31" max="31" width="25.88671875" style="50" bestFit="1" customWidth="1"/>
    <col min="32" max="32" width="25.88671875" style="53" bestFit="1" customWidth="1"/>
    <col min="33" max="33" width="24.44140625" style="53" bestFit="1" customWidth="1"/>
    <col min="34" max="34" width="25.109375" style="53" customWidth="1"/>
    <col min="35" max="35" width="27.109375" style="53" bestFit="1" customWidth="1"/>
    <col min="36" max="36" width="16.33203125" style="53" bestFit="1" customWidth="1"/>
    <col min="37" max="37" width="19.109375" style="53" bestFit="1" customWidth="1"/>
    <col min="38" max="38" width="33.5546875" style="50" bestFit="1" customWidth="1"/>
    <col min="39" max="42" width="36.33203125" style="50" bestFit="1" customWidth="1"/>
    <col min="43" max="44" width="36.33203125" style="49" bestFit="1" customWidth="1"/>
    <col min="45" max="47" width="36.33203125" style="50" bestFit="1" customWidth="1"/>
    <col min="48" max="53" width="37.44140625" style="50" bestFit="1" customWidth="1"/>
    <col min="54" max="54" width="28.109375" style="50" bestFit="1" customWidth="1"/>
    <col min="55" max="55" width="22.33203125" style="50" bestFit="1" customWidth="1"/>
    <col min="56" max="56" width="21.44140625" style="54" bestFit="1" customWidth="1"/>
    <col min="57" max="57" width="38" style="53" bestFit="1" customWidth="1"/>
    <col min="58" max="58" width="19.5546875" style="50" bestFit="1" customWidth="1"/>
    <col min="59" max="59" width="16.88671875" style="51" bestFit="1" customWidth="1"/>
    <col min="60" max="60" width="16.5546875" style="51" bestFit="1" customWidth="1"/>
    <col min="61" max="61" width="16.88671875" style="58" bestFit="1" customWidth="1"/>
    <col min="62" max="62" width="21" style="58" bestFit="1" customWidth="1"/>
    <col min="63" max="63" width="21.5546875" style="58" bestFit="1" customWidth="1"/>
    <col min="64" max="64" width="19.6640625" style="58" bestFit="1" customWidth="1"/>
    <col min="65" max="65" width="30.44140625" style="58" bestFit="1" customWidth="1"/>
    <col min="66" max="66" width="27.109375" style="49" bestFit="1" customWidth="1"/>
    <col min="67" max="67" width="35.44140625" style="51" bestFit="1" customWidth="1"/>
    <col min="68" max="68" width="33.88671875" style="51" bestFit="1" customWidth="1"/>
    <col min="69" max="69" width="21.6640625" style="50" bestFit="1" customWidth="1"/>
    <col min="70" max="70" width="20.44140625" style="49" bestFit="1" customWidth="1"/>
    <col min="71" max="71" width="35.5546875" style="50" bestFit="1" customWidth="1"/>
    <col min="72" max="72" width="32.109375" style="50" bestFit="1" customWidth="1"/>
    <col min="73" max="73" width="23" style="50" bestFit="1" customWidth="1"/>
    <col min="74" max="74" width="13.44140625" style="50" bestFit="1" customWidth="1"/>
    <col min="75" max="75" width="23.109375" style="50" bestFit="1" customWidth="1"/>
    <col min="76" max="76" width="17.44140625" style="53" bestFit="1" customWidth="1"/>
    <col min="77" max="77" width="19.5546875" style="50" bestFit="1" customWidth="1"/>
    <col min="78" max="78" width="24.5546875" style="50" bestFit="1" customWidth="1"/>
    <col min="79" max="79" width="31.44140625" style="50" bestFit="1" customWidth="1"/>
    <col min="80" max="80" width="19.33203125" style="50" bestFit="1" customWidth="1"/>
    <col min="81" max="81" width="16.5546875" style="51" bestFit="1" customWidth="1"/>
    <col min="82" max="82" width="25.109375" style="50" bestFit="1" customWidth="1"/>
    <col min="83" max="83" width="22.6640625" style="50" bestFit="1" customWidth="1"/>
    <col min="84" max="85" width="26.5546875" style="50" bestFit="1" customWidth="1"/>
    <col min="86" max="86" width="25.6640625" style="50" bestFit="1" customWidth="1"/>
    <col min="87" max="87" width="31" style="50" bestFit="1" customWidth="1"/>
    <col min="88" max="88" width="31.5546875" style="50" bestFit="1" customWidth="1"/>
    <col min="89" max="89" width="23.5546875" style="50" bestFit="1" customWidth="1"/>
    <col min="90" max="90" width="16" style="53" bestFit="1" customWidth="1"/>
    <col min="91" max="91" width="12.109375" style="50" bestFit="1" customWidth="1"/>
    <col min="92" max="92" width="18.5546875" style="50" bestFit="1" customWidth="1"/>
    <col min="93" max="93" width="27.33203125" style="50" bestFit="1" customWidth="1"/>
    <col min="94" max="94" width="35.88671875" style="50" bestFit="1" customWidth="1"/>
    <col min="95" max="95" width="32.6640625" style="50" bestFit="1" customWidth="1"/>
    <col min="96" max="96" width="29.33203125" style="50" bestFit="1" customWidth="1"/>
    <col min="97" max="97" width="15.6640625" style="49" bestFit="1" customWidth="1"/>
    <col min="98" max="98" width="64.88671875" style="50" bestFit="1" customWidth="1"/>
    <col min="99" max="99" width="66.6640625" style="50" bestFit="1" customWidth="1"/>
    <col min="100" max="100" width="14.5546875" style="50" bestFit="1" customWidth="1"/>
    <col min="101" max="101" width="9.109375" style="53" bestFit="1" customWidth="1"/>
    <col min="102" max="102" width="17.6640625" style="50" bestFit="1" customWidth="1"/>
    <col min="103" max="103" width="10.6640625" style="50" bestFit="1" customWidth="1"/>
    <col min="104" max="104" width="19.109375" style="50" bestFit="1" customWidth="1"/>
    <col min="105" max="105" width="24" style="50" bestFit="1" customWidth="1"/>
    <col min="106" max="106" width="19" style="50" bestFit="1" customWidth="1"/>
    <col min="107" max="107" width="28.109375" style="49" bestFit="1" customWidth="1"/>
    <col min="108" max="108" width="23.44140625" style="50" bestFit="1" customWidth="1"/>
    <col min="109" max="109" width="32" style="50" bestFit="1" customWidth="1"/>
    <col min="110" max="110" width="20.6640625" style="51" bestFit="1" customWidth="1"/>
    <col min="111" max="111" width="17.33203125" style="50" bestFit="1" customWidth="1"/>
    <col min="112" max="112" width="16.44140625" style="50" bestFit="1" customWidth="1"/>
    <col min="113" max="113" width="18.109375" style="49" bestFit="1" customWidth="1"/>
    <col min="114" max="114" width="27.33203125" style="50" bestFit="1" customWidth="1"/>
    <col min="115" max="115" width="36.44140625" style="50" bestFit="1" customWidth="1"/>
    <col min="116" max="119" width="39.109375" style="50" bestFit="1" customWidth="1"/>
    <col min="120" max="121" width="39.109375" style="49" bestFit="1" customWidth="1"/>
    <col min="122" max="124" width="39.109375" style="50" bestFit="1" customWidth="1"/>
    <col min="125" max="130" width="40.33203125" style="50" bestFit="1" customWidth="1"/>
    <col min="131" max="131" width="39.6640625" style="50" bestFit="1" customWidth="1"/>
    <col min="132" max="140" width="42.44140625" style="50" bestFit="1" customWidth="1"/>
    <col min="141" max="146" width="43.5546875" style="50" bestFit="1" customWidth="1"/>
    <col min="147" max="147" width="26.88671875" style="50" bestFit="1" customWidth="1"/>
    <col min="148" max="156" width="29.44140625" style="50" bestFit="1" customWidth="1"/>
    <col min="157" max="162" width="30.6640625" style="50" bestFit="1" customWidth="1"/>
    <col min="163" max="163" width="21.5546875" style="50" bestFit="1" customWidth="1"/>
    <col min="164" max="164" width="14.88671875" style="50" bestFit="1" customWidth="1"/>
    <col min="165" max="165" width="27.109375" style="50" bestFit="1" customWidth="1"/>
    <col min="166" max="166" width="27.6640625" style="50" bestFit="1" customWidth="1"/>
    <col min="167" max="167" width="23.109375" style="50" bestFit="1" customWidth="1"/>
    <col min="168" max="175" width="26.109375" style="50" bestFit="1" customWidth="1"/>
    <col min="176" max="186" width="27.33203125" style="50" bestFit="1" customWidth="1"/>
    <col min="187" max="187" width="35.33203125" style="50" bestFit="1" customWidth="1"/>
    <col min="188" max="188" width="27.5546875" style="50" bestFit="1" customWidth="1"/>
    <col min="189" max="189" width="30.109375" style="50" bestFit="1" customWidth="1"/>
    <col min="190" max="190" width="39" style="50" bestFit="1" customWidth="1"/>
    <col min="191" max="191" width="14.6640625" style="50" bestFit="1" customWidth="1"/>
    <col min="192" max="192" width="25.5546875" style="50" bestFit="1" customWidth="1"/>
    <col min="193" max="193" width="38.5546875" style="50" bestFit="1" customWidth="1"/>
    <col min="194" max="194" width="26.6640625" style="50" bestFit="1" customWidth="1"/>
    <col min="195" max="195" width="30" style="53" bestFit="1" customWidth="1"/>
    <col min="196" max="196" width="22.44140625" style="49" bestFit="1" customWidth="1"/>
    <col min="197" max="197" width="24.33203125" style="51" bestFit="1" customWidth="1"/>
    <col min="198" max="198" width="30.33203125" style="50" bestFit="1" customWidth="1"/>
    <col min="199" max="199" width="29.33203125" style="50" bestFit="1" customWidth="1"/>
    <col min="200" max="200" width="13.88671875" style="50" bestFit="1" customWidth="1"/>
    <col min="201" max="201" width="22" style="50" bestFit="1" customWidth="1"/>
    <col min="202" max="202" width="19.6640625" style="50" bestFit="1" customWidth="1"/>
    <col min="203" max="203" width="18.6640625" style="51" bestFit="1" customWidth="1"/>
    <col min="204" max="204" width="29.33203125" style="50" bestFit="1" customWidth="1"/>
    <col min="205" max="213" width="32" style="50" bestFit="1" customWidth="1"/>
    <col min="214" max="219" width="33.109375" style="50" bestFit="1" customWidth="1"/>
    <col min="220" max="220" width="36.6640625" style="50" bestFit="1" customWidth="1"/>
    <col min="221" max="229" width="39.44140625" style="50" bestFit="1" customWidth="1"/>
    <col min="230" max="235" width="40.5546875" style="50" bestFit="1" customWidth="1"/>
    <col min="236" max="236" width="59.109375" style="50" bestFit="1" customWidth="1"/>
    <col min="237" max="245" width="61.6640625" style="50" bestFit="1" customWidth="1"/>
    <col min="246" max="266" width="63" style="50" bestFit="1" customWidth="1"/>
    <col min="267" max="267" width="49.33203125" style="50" bestFit="1" customWidth="1"/>
    <col min="268" max="276" width="41" style="50" bestFit="1" customWidth="1"/>
    <col min="277" max="287" width="42.33203125" style="50" bestFit="1" customWidth="1"/>
    <col min="288" max="288" width="18.6640625" style="15" customWidth="1"/>
    <col min="289" max="289" width="14.44140625" style="56" bestFit="1" customWidth="1"/>
    <col min="290" max="290" width="25.5546875" style="56" hidden="1" customWidth="1"/>
    <col min="291" max="291" width="26.6640625" style="56" hidden="1" customWidth="1"/>
    <col min="292" max="293" width="35.109375" style="56" hidden="1" customWidth="1"/>
    <col min="294" max="294" width="23.44140625" style="56" hidden="1" customWidth="1"/>
    <col min="295" max="295" width="27.109375" style="56" hidden="1" customWidth="1"/>
    <col min="296" max="296" width="43.33203125" style="56" hidden="1" customWidth="1"/>
    <col min="297" max="297" width="36.33203125" style="56" hidden="1" customWidth="1"/>
    <col min="298" max="298" width="49.33203125" style="56" bestFit="1" customWidth="1"/>
    <col min="299" max="300" width="69.5546875" style="50" bestFit="1" customWidth="1"/>
    <col min="301" max="302" width="49.33203125" style="50" bestFit="1" customWidth="1"/>
    <col min="303" max="306" width="69.5546875" style="50" bestFit="1" customWidth="1"/>
    <col min="307" max="309" width="70.6640625" style="50" bestFit="1" customWidth="1"/>
    <col min="310" max="314" width="67" style="51" bestFit="1" customWidth="1"/>
    <col min="315" max="319" width="74" style="56" bestFit="1" customWidth="1"/>
    <col min="320" max="324" width="71.44140625" style="51" bestFit="1" customWidth="1"/>
    <col min="325" max="325" width="14.6640625" style="50" bestFit="1" customWidth="1"/>
    <col min="326" max="326" width="17.6640625" style="50" bestFit="1" customWidth="1"/>
    <col min="327" max="327" width="15.33203125" style="50" bestFit="1" customWidth="1"/>
    <col min="328" max="328" width="21.109375" style="50" bestFit="1" customWidth="1"/>
    <col min="329" max="329" width="20.33203125" style="50" bestFit="1" customWidth="1"/>
    <col min="330" max="330" width="0.5546875" style="50" customWidth="1"/>
    <col min="331" max="332" width="0.33203125" style="50" customWidth="1"/>
    <col min="333" max="16384" width="9.109375" style="50"/>
  </cols>
  <sheetData>
    <row r="1" spans="1:332" s="41" customFormat="1" ht="5.0999999999999996" customHeight="1">
      <c r="F1" s="42"/>
      <c r="G1" s="42"/>
      <c r="I1" s="43"/>
      <c r="J1" s="43"/>
      <c r="K1" s="43"/>
      <c r="L1" s="43"/>
      <c r="M1" s="43"/>
      <c r="N1" s="43"/>
      <c r="O1" s="43"/>
      <c r="P1" s="43"/>
      <c r="Q1" s="43"/>
      <c r="R1" s="43"/>
      <c r="S1" s="43"/>
      <c r="T1" s="43"/>
      <c r="U1" s="43"/>
      <c r="V1" s="43"/>
      <c r="W1" s="43"/>
      <c r="X1" s="43"/>
      <c r="Y1" s="43"/>
      <c r="Z1" s="43"/>
      <c r="AE1" s="44"/>
      <c r="AF1" s="44"/>
      <c r="AG1" s="44"/>
      <c r="AH1" s="44"/>
      <c r="AI1" s="44"/>
      <c r="AJ1" s="44"/>
      <c r="AK1" s="44"/>
      <c r="BG1" s="42"/>
      <c r="BH1" s="42"/>
      <c r="BI1" s="57"/>
      <c r="BJ1" s="57"/>
      <c r="BK1" s="57"/>
      <c r="BL1" s="57"/>
      <c r="BM1" s="57"/>
      <c r="BO1" s="42"/>
      <c r="BP1" s="42"/>
      <c r="BR1" s="44"/>
      <c r="BX1" s="44"/>
      <c r="CC1" s="42"/>
      <c r="CL1" s="44"/>
      <c r="CS1" s="44"/>
      <c r="DC1" s="44"/>
      <c r="DF1" s="42"/>
      <c r="GM1" s="44"/>
      <c r="GO1" s="42"/>
      <c r="GU1" s="42"/>
      <c r="KB1" s="60"/>
      <c r="KC1" s="60"/>
      <c r="KD1" s="60"/>
      <c r="KE1" s="60"/>
      <c r="KF1" s="60"/>
      <c r="KG1" s="60"/>
      <c r="KH1" s="60"/>
      <c r="KI1" s="60"/>
      <c r="KJ1" s="60"/>
      <c r="KK1" s="60"/>
      <c r="KL1" s="60"/>
      <c r="KX1" s="42"/>
      <c r="KY1" s="42"/>
      <c r="KZ1" s="42"/>
      <c r="LA1" s="42"/>
      <c r="LB1" s="42"/>
      <c r="LC1" s="60"/>
      <c r="LD1" s="60"/>
      <c r="LE1" s="60"/>
      <c r="LF1" s="60"/>
      <c r="LG1" s="60"/>
      <c r="LH1" s="42"/>
      <c r="LI1" s="42"/>
      <c r="LJ1" s="42"/>
      <c r="LK1" s="42"/>
      <c r="LL1" s="42"/>
    </row>
    <row r="2" spans="1:332" s="41" customFormat="1" ht="18" customHeight="1">
      <c r="B2" s="45" t="s">
        <v>182</v>
      </c>
      <c r="F2" s="42"/>
      <c r="G2" s="42"/>
      <c r="I2" s="43"/>
      <c r="J2" s="43"/>
      <c r="K2" s="46"/>
      <c r="L2" s="43"/>
      <c r="M2" s="43"/>
      <c r="N2" s="43"/>
      <c r="O2" s="43"/>
      <c r="P2" s="43"/>
      <c r="Q2" s="43"/>
      <c r="R2" s="43"/>
      <c r="S2" s="43"/>
      <c r="T2" s="43"/>
      <c r="U2" s="43"/>
      <c r="V2" s="43"/>
      <c r="W2" s="43"/>
      <c r="X2" s="43"/>
      <c r="Y2" s="43"/>
      <c r="Z2" s="43"/>
      <c r="AE2" s="44"/>
      <c r="AF2" s="44"/>
      <c r="AG2" s="44"/>
      <c r="AH2" s="44"/>
      <c r="AI2" s="44"/>
      <c r="AJ2" s="44"/>
      <c r="AK2" s="44"/>
      <c r="BG2" s="42"/>
      <c r="BH2" s="42"/>
      <c r="BI2" s="57"/>
      <c r="BJ2" s="57"/>
      <c r="BK2" s="57"/>
      <c r="BL2" s="57"/>
      <c r="BM2" s="57"/>
      <c r="BO2" s="42"/>
      <c r="BP2" s="42"/>
      <c r="BR2" s="44"/>
      <c r="BX2" s="44"/>
      <c r="CC2" s="42"/>
      <c r="CL2" s="44"/>
      <c r="CS2" s="44"/>
      <c r="DC2" s="44"/>
      <c r="DF2" s="42"/>
      <c r="GM2" s="44"/>
      <c r="GO2" s="42"/>
      <c r="GU2" s="42"/>
      <c r="KB2" s="60"/>
      <c r="KC2" s="60"/>
      <c r="KD2" s="60"/>
      <c r="KE2" s="60"/>
      <c r="KF2" s="60"/>
      <c r="KG2" s="60"/>
      <c r="KH2" s="60"/>
      <c r="KI2" s="60"/>
      <c r="KJ2" s="60"/>
      <c r="KK2" s="60"/>
      <c r="KL2" s="60"/>
      <c r="KX2" s="42"/>
      <c r="KY2" s="42"/>
      <c r="KZ2" s="42"/>
      <c r="LA2" s="42"/>
      <c r="LB2" s="42"/>
      <c r="LC2" s="60"/>
      <c r="LD2" s="60"/>
      <c r="LE2" s="60"/>
      <c r="LF2" s="60"/>
      <c r="LG2" s="60"/>
      <c r="LH2" s="42"/>
      <c r="LI2" s="42"/>
      <c r="LJ2" s="42"/>
      <c r="LK2" s="42"/>
      <c r="LL2" s="42"/>
    </row>
    <row r="3" spans="1:332" s="41" customFormat="1" ht="18" customHeight="1">
      <c r="B3" s="47" t="s">
        <v>179</v>
      </c>
      <c r="C3" s="48"/>
      <c r="F3" s="42"/>
      <c r="G3" s="42"/>
      <c r="I3" s="43"/>
      <c r="J3" s="43"/>
      <c r="K3" s="43"/>
      <c r="L3" s="43"/>
      <c r="M3" s="43"/>
      <c r="N3" s="43"/>
      <c r="O3" s="43"/>
      <c r="P3" s="43"/>
      <c r="Q3" s="43"/>
      <c r="R3" s="43"/>
      <c r="S3" s="43"/>
      <c r="T3" s="43"/>
      <c r="U3" s="43"/>
      <c r="V3" s="43"/>
      <c r="W3" s="43"/>
      <c r="X3" s="43"/>
      <c r="Y3" s="43"/>
      <c r="Z3" s="43"/>
      <c r="AA3" s="48"/>
      <c r="AB3" s="48"/>
      <c r="AC3" s="48"/>
      <c r="AD3" s="48"/>
      <c r="AE3" s="44"/>
      <c r="AF3" s="44"/>
      <c r="AG3" s="44"/>
      <c r="AH3" s="44"/>
      <c r="AI3" s="44"/>
      <c r="AJ3" s="44"/>
      <c r="AK3" s="44"/>
      <c r="BG3" s="42"/>
      <c r="BH3" s="42"/>
      <c r="BI3" s="57"/>
      <c r="BJ3" s="57"/>
      <c r="BK3" s="57"/>
      <c r="BL3" s="57"/>
      <c r="BM3" s="57"/>
      <c r="BO3" s="42"/>
      <c r="BP3" s="42"/>
      <c r="BR3" s="44"/>
      <c r="BX3" s="44"/>
      <c r="CC3" s="42"/>
      <c r="CL3" s="44"/>
      <c r="CS3" s="44"/>
      <c r="DC3" s="44"/>
      <c r="DF3" s="42"/>
      <c r="GM3" s="44"/>
      <c r="GO3" s="42"/>
      <c r="GU3" s="42"/>
      <c r="KB3" s="60"/>
      <c r="KC3" s="60"/>
      <c r="KD3" s="60"/>
      <c r="KE3" s="60"/>
      <c r="KF3" s="60"/>
      <c r="KG3" s="60"/>
      <c r="KH3" s="60"/>
      <c r="KI3" s="60"/>
      <c r="KJ3" s="60"/>
      <c r="KK3" s="60"/>
      <c r="KL3" s="60"/>
      <c r="KX3" s="42"/>
      <c r="KY3" s="42"/>
      <c r="KZ3" s="42"/>
      <c r="LA3" s="42"/>
      <c r="LB3" s="42"/>
      <c r="LC3" s="60"/>
      <c r="LD3" s="60"/>
      <c r="LE3" s="60"/>
      <c r="LF3" s="60"/>
      <c r="LG3" s="60"/>
      <c r="LH3" s="42"/>
      <c r="LI3" s="42"/>
      <c r="LJ3" s="42"/>
      <c r="LK3" s="42"/>
      <c r="LL3" s="42"/>
    </row>
    <row r="4" spans="1:332" s="12" customFormat="1" ht="13.2">
      <c r="A4" s="12" t="s">
        <v>443</v>
      </c>
      <c r="B4" s="12" t="s">
        <v>428</v>
      </c>
      <c r="C4" s="12" t="s">
        <v>186</v>
      </c>
      <c r="D4" s="12" t="s">
        <v>414</v>
      </c>
      <c r="E4" s="12" t="s">
        <v>415</v>
      </c>
      <c r="F4" s="12" t="s">
        <v>0</v>
      </c>
      <c r="G4" s="12" t="s">
        <v>1</v>
      </c>
      <c r="H4" s="12" t="s">
        <v>2</v>
      </c>
      <c r="I4" s="12" t="s">
        <v>442</v>
      </c>
      <c r="J4" s="12" t="s">
        <v>394</v>
      </c>
      <c r="K4" s="12" t="s">
        <v>395</v>
      </c>
      <c r="L4" s="12" t="s">
        <v>441</v>
      </c>
      <c r="M4" s="12" t="s">
        <v>396</v>
      </c>
      <c r="N4" s="12" t="s">
        <v>397</v>
      </c>
      <c r="O4" s="12" t="s">
        <v>398</v>
      </c>
      <c r="P4" s="12" t="s">
        <v>399</v>
      </c>
      <c r="Q4" s="12" t="s">
        <v>400</v>
      </c>
      <c r="R4" s="12" t="s">
        <v>401</v>
      </c>
      <c r="S4" s="12" t="s">
        <v>402</v>
      </c>
      <c r="T4" s="12" t="s">
        <v>407</v>
      </c>
      <c r="U4" s="12" t="s">
        <v>408</v>
      </c>
      <c r="V4" s="12" t="s">
        <v>412</v>
      </c>
      <c r="W4" s="12" t="s">
        <v>409</v>
      </c>
      <c r="X4" s="12" t="s">
        <v>410</v>
      </c>
      <c r="Y4" s="12" t="s">
        <v>413</v>
      </c>
      <c r="Z4" s="12" t="s">
        <v>411</v>
      </c>
      <c r="AA4" s="12" t="s">
        <v>187</v>
      </c>
      <c r="AB4" s="12" t="s">
        <v>188</v>
      </c>
      <c r="AC4" s="12" t="s">
        <v>189</v>
      </c>
      <c r="AD4" s="12" t="s">
        <v>190</v>
      </c>
      <c r="AE4" s="12" t="s">
        <v>3</v>
      </c>
      <c r="AF4" s="12" t="s">
        <v>4</v>
      </c>
      <c r="AG4" s="12" t="s">
        <v>5</v>
      </c>
      <c r="AH4" s="12" t="s">
        <v>6</v>
      </c>
      <c r="AI4" s="12" t="s">
        <v>7</v>
      </c>
      <c r="AJ4" s="12" t="s">
        <v>8</v>
      </c>
      <c r="AK4" s="12" t="s">
        <v>9</v>
      </c>
      <c r="AL4" s="12" t="s">
        <v>228</v>
      </c>
      <c r="AM4" s="12" t="s">
        <v>229</v>
      </c>
      <c r="AN4" s="12" t="s">
        <v>230</v>
      </c>
      <c r="AO4" s="12" t="s">
        <v>231</v>
      </c>
      <c r="AP4" s="12" t="s">
        <v>232</v>
      </c>
      <c r="AQ4" s="12" t="s">
        <v>233</v>
      </c>
      <c r="AR4" s="12" t="s">
        <v>234</v>
      </c>
      <c r="AS4" s="12" t="s">
        <v>235</v>
      </c>
      <c r="AT4" s="12" t="s">
        <v>236</v>
      </c>
      <c r="AU4" s="12" t="s">
        <v>237</v>
      </c>
      <c r="AV4" s="12" t="s">
        <v>238</v>
      </c>
      <c r="AW4" s="12" t="s">
        <v>239</v>
      </c>
      <c r="AX4" s="12" t="s">
        <v>240</v>
      </c>
      <c r="AY4" s="12" t="s">
        <v>241</v>
      </c>
      <c r="AZ4" s="12" t="s">
        <v>242</v>
      </c>
      <c r="BA4" s="12" t="s">
        <v>243</v>
      </c>
      <c r="BB4" s="12" t="s">
        <v>10</v>
      </c>
      <c r="BC4" s="12" t="s">
        <v>11</v>
      </c>
      <c r="BD4" s="12" t="s">
        <v>12</v>
      </c>
      <c r="BE4" s="12" t="s">
        <v>432</v>
      </c>
      <c r="BF4" s="12" t="s">
        <v>14</v>
      </c>
      <c r="BG4" s="12" t="s">
        <v>15</v>
      </c>
      <c r="BH4" s="12" t="s">
        <v>16</v>
      </c>
      <c r="BI4" s="13" t="s">
        <v>390</v>
      </c>
      <c r="BJ4" s="13" t="s">
        <v>17</v>
      </c>
      <c r="BK4" s="13" t="s">
        <v>18</v>
      </c>
      <c r="BL4" s="13" t="s">
        <v>19</v>
      </c>
      <c r="BM4" s="13" t="s">
        <v>20</v>
      </c>
      <c r="BN4" s="12" t="s">
        <v>416</v>
      </c>
      <c r="BO4" s="12" t="s">
        <v>21</v>
      </c>
      <c r="BP4" s="12" t="s">
        <v>22</v>
      </c>
      <c r="BQ4" s="12" t="s">
        <v>417</v>
      </c>
      <c r="BR4" s="12" t="s">
        <v>23</v>
      </c>
      <c r="BS4" s="12" t="s">
        <v>418</v>
      </c>
      <c r="BT4" s="12" t="s">
        <v>419</v>
      </c>
      <c r="BU4" s="12" t="s">
        <v>420</v>
      </c>
      <c r="BV4" s="12" t="s">
        <v>24</v>
      </c>
      <c r="BW4" s="12" t="s">
        <v>421</v>
      </c>
      <c r="BX4" s="12" t="s">
        <v>25</v>
      </c>
      <c r="BY4" s="12" t="s">
        <v>26</v>
      </c>
      <c r="BZ4" s="12" t="s">
        <v>27</v>
      </c>
      <c r="CA4" s="12" t="s">
        <v>28</v>
      </c>
      <c r="CB4" s="12" t="s">
        <v>29</v>
      </c>
      <c r="CC4" s="12" t="s">
        <v>30</v>
      </c>
      <c r="CD4" s="12" t="s">
        <v>31</v>
      </c>
      <c r="CE4" s="12" t="s">
        <v>174</v>
      </c>
      <c r="CF4" s="12" t="s">
        <v>32</v>
      </c>
      <c r="CG4" s="12" t="s">
        <v>33</v>
      </c>
      <c r="CH4" s="12" t="s">
        <v>34</v>
      </c>
      <c r="CI4" s="12" t="s">
        <v>404</v>
      </c>
      <c r="CJ4" s="12" t="s">
        <v>405</v>
      </c>
      <c r="CK4" s="12" t="s">
        <v>406</v>
      </c>
      <c r="CL4" s="12" t="s">
        <v>35</v>
      </c>
      <c r="CM4" s="12" t="s">
        <v>36</v>
      </c>
      <c r="CN4" s="12" t="s">
        <v>37</v>
      </c>
      <c r="CO4" s="12" t="s">
        <v>38</v>
      </c>
      <c r="CP4" s="12" t="s">
        <v>39</v>
      </c>
      <c r="CQ4" s="12" t="s">
        <v>40</v>
      </c>
      <c r="CR4" s="12" t="s">
        <v>41</v>
      </c>
      <c r="CS4" s="12" t="s">
        <v>42</v>
      </c>
      <c r="CT4" s="12" t="s">
        <v>43</v>
      </c>
      <c r="CU4" s="12" t="s">
        <v>44</v>
      </c>
      <c r="CV4" s="12" t="s">
        <v>45</v>
      </c>
      <c r="CW4" s="12" t="s">
        <v>46</v>
      </c>
      <c r="CX4" s="12" t="s">
        <v>47</v>
      </c>
      <c r="CY4" s="12" t="s">
        <v>422</v>
      </c>
      <c r="CZ4" s="12" t="s">
        <v>423</v>
      </c>
      <c r="DA4" s="12" t="s">
        <v>48</v>
      </c>
      <c r="DB4" s="12" t="s">
        <v>49</v>
      </c>
      <c r="DC4" s="12" t="s">
        <v>50</v>
      </c>
      <c r="DD4" s="12" t="s">
        <v>51</v>
      </c>
      <c r="DE4" s="12" t="s">
        <v>52</v>
      </c>
      <c r="DF4" s="12" t="s">
        <v>53</v>
      </c>
      <c r="DG4" s="12" t="s">
        <v>54</v>
      </c>
      <c r="DH4" s="12" t="s">
        <v>55</v>
      </c>
      <c r="DI4" s="12" t="s">
        <v>56</v>
      </c>
      <c r="DJ4" s="12" t="s">
        <v>57</v>
      </c>
      <c r="DK4" s="12" t="s">
        <v>244</v>
      </c>
      <c r="DL4" s="12" t="s">
        <v>245</v>
      </c>
      <c r="DM4" s="12" t="s">
        <v>246</v>
      </c>
      <c r="DN4" s="12" t="s">
        <v>247</v>
      </c>
      <c r="DO4" s="12" t="s">
        <v>248</v>
      </c>
      <c r="DP4" s="12" t="s">
        <v>249</v>
      </c>
      <c r="DQ4" s="12" t="s">
        <v>250</v>
      </c>
      <c r="DR4" s="12" t="s">
        <v>251</v>
      </c>
      <c r="DS4" s="12" t="s">
        <v>252</v>
      </c>
      <c r="DT4" s="12" t="s">
        <v>253</v>
      </c>
      <c r="DU4" s="12" t="s">
        <v>254</v>
      </c>
      <c r="DV4" s="12" t="s">
        <v>255</v>
      </c>
      <c r="DW4" s="12" t="s">
        <v>256</v>
      </c>
      <c r="DX4" s="12" t="s">
        <v>257</v>
      </c>
      <c r="DY4" s="12" t="s">
        <v>258</v>
      </c>
      <c r="DZ4" s="12" t="s">
        <v>259</v>
      </c>
      <c r="EA4" s="12" t="s">
        <v>260</v>
      </c>
      <c r="EB4" s="12" t="s">
        <v>261</v>
      </c>
      <c r="EC4" s="12" t="s">
        <v>262</v>
      </c>
      <c r="ED4" s="12" t="s">
        <v>263</v>
      </c>
      <c r="EE4" s="12" t="s">
        <v>264</v>
      </c>
      <c r="EF4" s="12" t="s">
        <v>265</v>
      </c>
      <c r="EG4" s="12" t="s">
        <v>266</v>
      </c>
      <c r="EH4" s="12" t="s">
        <v>267</v>
      </c>
      <c r="EI4" s="12" t="s">
        <v>268</v>
      </c>
      <c r="EJ4" s="12" t="s">
        <v>269</v>
      </c>
      <c r="EK4" s="12" t="s">
        <v>270</v>
      </c>
      <c r="EL4" s="12" t="s">
        <v>271</v>
      </c>
      <c r="EM4" s="12" t="s">
        <v>272</v>
      </c>
      <c r="EN4" s="12" t="s">
        <v>273</v>
      </c>
      <c r="EO4" s="12" t="s">
        <v>274</v>
      </c>
      <c r="EP4" s="12" t="s">
        <v>275</v>
      </c>
      <c r="EQ4" s="12" t="s">
        <v>433</v>
      </c>
      <c r="ER4" s="12" t="s">
        <v>118</v>
      </c>
      <c r="ES4" s="12" t="s">
        <v>119</v>
      </c>
      <c r="ET4" s="12" t="s">
        <v>120</v>
      </c>
      <c r="EU4" s="12" t="s">
        <v>121</v>
      </c>
      <c r="EV4" s="12" t="s">
        <v>122</v>
      </c>
      <c r="EW4" s="12" t="s">
        <v>123</v>
      </c>
      <c r="EX4" s="12" t="s">
        <v>124</v>
      </c>
      <c r="EY4" s="12" t="s">
        <v>226</v>
      </c>
      <c r="EZ4" s="12" t="s">
        <v>125</v>
      </c>
      <c r="FA4" s="12" t="s">
        <v>126</v>
      </c>
      <c r="FB4" s="12" t="s">
        <v>127</v>
      </c>
      <c r="FC4" s="12" t="s">
        <v>128</v>
      </c>
      <c r="FD4" s="12" t="s">
        <v>129</v>
      </c>
      <c r="FE4" s="12" t="s">
        <v>130</v>
      </c>
      <c r="FF4" s="12" t="s">
        <v>434</v>
      </c>
      <c r="FG4" s="12" t="s">
        <v>58</v>
      </c>
      <c r="FH4" s="12" t="s">
        <v>59</v>
      </c>
      <c r="FI4" s="12" t="s">
        <v>60</v>
      </c>
      <c r="FJ4" s="12" t="s">
        <v>61</v>
      </c>
      <c r="FK4" s="12" t="s">
        <v>172</v>
      </c>
      <c r="FL4" s="12" t="s">
        <v>435</v>
      </c>
      <c r="FM4" s="12" t="s">
        <v>339</v>
      </c>
      <c r="FN4" s="12" t="s">
        <v>340</v>
      </c>
      <c r="FO4" s="12" t="s">
        <v>341</v>
      </c>
      <c r="FP4" s="12" t="s">
        <v>342</v>
      </c>
      <c r="FQ4" s="12" t="s">
        <v>343</v>
      </c>
      <c r="FR4" s="12" t="s">
        <v>344</v>
      </c>
      <c r="FS4" s="12" t="s">
        <v>345</v>
      </c>
      <c r="FT4" s="12" t="s">
        <v>346</v>
      </c>
      <c r="FU4" s="12" t="s">
        <v>347</v>
      </c>
      <c r="FV4" s="12" t="s">
        <v>348</v>
      </c>
      <c r="FW4" s="12" t="s">
        <v>349</v>
      </c>
      <c r="FX4" s="12" t="s">
        <v>350</v>
      </c>
      <c r="FY4" s="12" t="s">
        <v>351</v>
      </c>
      <c r="FZ4" s="12" t="s">
        <v>352</v>
      </c>
      <c r="GA4" s="12" t="s">
        <v>353</v>
      </c>
      <c r="GB4" s="12" t="s">
        <v>354</v>
      </c>
      <c r="GC4" s="12" t="s">
        <v>355</v>
      </c>
      <c r="GD4" s="12" t="s">
        <v>436</v>
      </c>
      <c r="GE4" s="12" t="s">
        <v>437</v>
      </c>
      <c r="GF4" s="12" t="s">
        <v>62</v>
      </c>
      <c r="GG4" s="12" t="s">
        <v>63</v>
      </c>
      <c r="GH4" s="12" t="s">
        <v>403</v>
      </c>
      <c r="GI4" s="12" t="s">
        <v>64</v>
      </c>
      <c r="GJ4" s="12" t="s">
        <v>65</v>
      </c>
      <c r="GK4" s="12" t="s">
        <v>66</v>
      </c>
      <c r="GL4" s="12" t="s">
        <v>67</v>
      </c>
      <c r="GM4" s="12" t="s">
        <v>68</v>
      </c>
      <c r="GN4" s="12" t="s">
        <v>69</v>
      </c>
      <c r="GO4" s="12" t="s">
        <v>70</v>
      </c>
      <c r="GP4" s="12" t="s">
        <v>71</v>
      </c>
      <c r="GQ4" s="12" t="s">
        <v>424</v>
      </c>
      <c r="GR4" s="12" t="s">
        <v>72</v>
      </c>
      <c r="GS4" s="12" t="s">
        <v>73</v>
      </c>
      <c r="GT4" s="12" t="s">
        <v>74</v>
      </c>
      <c r="GU4" s="12" t="s">
        <v>75</v>
      </c>
      <c r="GV4" s="12" t="s">
        <v>356</v>
      </c>
      <c r="GW4" s="12" t="s">
        <v>357</v>
      </c>
      <c r="GX4" s="12" t="s">
        <v>358</v>
      </c>
      <c r="GY4" s="12" t="s">
        <v>359</v>
      </c>
      <c r="GZ4" s="12" t="s">
        <v>360</v>
      </c>
      <c r="HA4" s="12" t="s">
        <v>361</v>
      </c>
      <c r="HB4" s="12" t="s">
        <v>362</v>
      </c>
      <c r="HC4" s="12" t="s">
        <v>363</v>
      </c>
      <c r="HD4" s="12" t="s">
        <v>364</v>
      </c>
      <c r="HE4" s="12" t="s">
        <v>365</v>
      </c>
      <c r="HF4" s="12" t="s">
        <v>366</v>
      </c>
      <c r="HG4" s="12" t="s">
        <v>367</v>
      </c>
      <c r="HH4" s="12" t="s">
        <v>368</v>
      </c>
      <c r="HI4" s="12" t="s">
        <v>369</v>
      </c>
      <c r="HJ4" s="12" t="s">
        <v>370</v>
      </c>
      <c r="HK4" s="12" t="s">
        <v>371</v>
      </c>
      <c r="HL4" s="12" t="s">
        <v>372</v>
      </c>
      <c r="HM4" s="12" t="s">
        <v>373</v>
      </c>
      <c r="HN4" s="12" t="s">
        <v>374</v>
      </c>
      <c r="HO4" s="12" t="s">
        <v>375</v>
      </c>
      <c r="HP4" s="12" t="s">
        <v>376</v>
      </c>
      <c r="HQ4" s="12" t="s">
        <v>377</v>
      </c>
      <c r="HR4" s="12" t="s">
        <v>378</v>
      </c>
      <c r="HS4" s="12" t="s">
        <v>379</v>
      </c>
      <c r="HT4" s="12" t="s">
        <v>380</v>
      </c>
      <c r="HU4" s="12" t="s">
        <v>381</v>
      </c>
      <c r="HV4" s="12" t="s">
        <v>382</v>
      </c>
      <c r="HW4" s="12" t="s">
        <v>383</v>
      </c>
      <c r="HX4" s="12" t="s">
        <v>384</v>
      </c>
      <c r="HY4" s="12" t="s">
        <v>385</v>
      </c>
      <c r="HZ4" s="12" t="s">
        <v>386</v>
      </c>
      <c r="IA4" s="12" t="s">
        <v>387</v>
      </c>
      <c r="IB4" s="12" t="s">
        <v>308</v>
      </c>
      <c r="IC4" s="12" t="s">
        <v>309</v>
      </c>
      <c r="ID4" s="12" t="s">
        <v>310</v>
      </c>
      <c r="IE4" s="12" t="s">
        <v>311</v>
      </c>
      <c r="IF4" s="12" t="s">
        <v>312</v>
      </c>
      <c r="IG4" s="12" t="s">
        <v>313</v>
      </c>
      <c r="IH4" s="12" t="s">
        <v>314</v>
      </c>
      <c r="II4" s="12" t="s">
        <v>315</v>
      </c>
      <c r="IJ4" s="12" t="s">
        <v>316</v>
      </c>
      <c r="IK4" s="12" t="s">
        <v>317</v>
      </c>
      <c r="IL4" s="12" t="s">
        <v>318</v>
      </c>
      <c r="IM4" s="12" t="s">
        <v>319</v>
      </c>
      <c r="IN4" s="12" t="s">
        <v>320</v>
      </c>
      <c r="IO4" s="12" t="s">
        <v>321</v>
      </c>
      <c r="IP4" s="12" t="s">
        <v>322</v>
      </c>
      <c r="IQ4" s="12" t="s">
        <v>323</v>
      </c>
      <c r="IR4" s="12" t="s">
        <v>324</v>
      </c>
      <c r="IS4" s="12" t="s">
        <v>325</v>
      </c>
      <c r="IT4" s="12" t="s">
        <v>326</v>
      </c>
      <c r="IU4" s="12" t="s">
        <v>327</v>
      </c>
      <c r="IV4" s="12" t="s">
        <v>328</v>
      </c>
      <c r="IW4" s="12" t="s">
        <v>329</v>
      </c>
      <c r="IX4" s="12" t="s">
        <v>330</v>
      </c>
      <c r="IY4" s="12" t="s">
        <v>331</v>
      </c>
      <c r="IZ4" s="12" t="s">
        <v>332</v>
      </c>
      <c r="JA4" s="12" t="s">
        <v>333</v>
      </c>
      <c r="JB4" s="12" t="s">
        <v>334</v>
      </c>
      <c r="JC4" s="12" t="s">
        <v>335</v>
      </c>
      <c r="JD4" s="12" t="s">
        <v>336</v>
      </c>
      <c r="JE4" s="12" t="s">
        <v>337</v>
      </c>
      <c r="JF4" s="12" t="s">
        <v>338</v>
      </c>
      <c r="JG4" s="12" t="s">
        <v>438</v>
      </c>
      <c r="JH4" s="12" t="s">
        <v>439</v>
      </c>
      <c r="JI4" s="12" t="s">
        <v>100</v>
      </c>
      <c r="JJ4" s="12" t="s">
        <v>101</v>
      </c>
      <c r="JK4" s="12" t="s">
        <v>102</v>
      </c>
      <c r="JL4" s="12" t="s">
        <v>103</v>
      </c>
      <c r="JM4" s="12" t="s">
        <v>104</v>
      </c>
      <c r="JN4" s="12" t="s">
        <v>105</v>
      </c>
      <c r="JO4" s="12" t="s">
        <v>106</v>
      </c>
      <c r="JP4" s="12" t="s">
        <v>107</v>
      </c>
      <c r="JQ4" s="12" t="s">
        <v>108</v>
      </c>
      <c r="JR4" s="12" t="s">
        <v>109</v>
      </c>
      <c r="JS4" s="12" t="s">
        <v>110</v>
      </c>
      <c r="JT4" s="12" t="s">
        <v>111</v>
      </c>
      <c r="JU4" s="12" t="s">
        <v>112</v>
      </c>
      <c r="JV4" s="12" t="s">
        <v>113</v>
      </c>
      <c r="JW4" s="12" t="s">
        <v>114</v>
      </c>
      <c r="JX4" s="12" t="s">
        <v>115</v>
      </c>
      <c r="JY4" s="12" t="s">
        <v>116</v>
      </c>
      <c r="JZ4" s="12" t="s">
        <v>117</v>
      </c>
      <c r="KA4" s="12" t="s">
        <v>440</v>
      </c>
      <c r="KB4" s="61" t="s">
        <v>227</v>
      </c>
      <c r="KC4" s="61" t="s">
        <v>629</v>
      </c>
      <c r="KD4" s="61" t="s">
        <v>445</v>
      </c>
      <c r="KE4" s="16" t="s">
        <v>446</v>
      </c>
      <c r="KF4" s="61" t="s">
        <v>447</v>
      </c>
      <c r="KG4" s="61" t="s">
        <v>448</v>
      </c>
      <c r="KH4" s="61" t="s">
        <v>449</v>
      </c>
      <c r="KI4" s="61" t="s">
        <v>450</v>
      </c>
      <c r="KJ4" s="61" t="s">
        <v>451</v>
      </c>
      <c r="KK4" s="61" t="s">
        <v>452</v>
      </c>
      <c r="KL4" s="12" t="s">
        <v>596</v>
      </c>
      <c r="KM4" s="12" t="s">
        <v>597</v>
      </c>
      <c r="KN4" s="12" t="s">
        <v>598</v>
      </c>
      <c r="KO4" s="12" t="s">
        <v>599</v>
      </c>
      <c r="KP4" s="12" t="s">
        <v>600</v>
      </c>
      <c r="KQ4" s="12" t="s">
        <v>601</v>
      </c>
      <c r="KR4" s="12" t="s">
        <v>602</v>
      </c>
      <c r="KS4" s="12" t="s">
        <v>603</v>
      </c>
      <c r="KT4" s="12" t="s">
        <v>604</v>
      </c>
      <c r="KU4" s="12" t="s">
        <v>605</v>
      </c>
      <c r="KV4" s="12" t="s">
        <v>606</v>
      </c>
      <c r="KW4" s="12" t="s">
        <v>607</v>
      </c>
      <c r="KX4" s="16" t="s">
        <v>608</v>
      </c>
      <c r="KY4" s="16" t="s">
        <v>609</v>
      </c>
      <c r="KZ4" s="16" t="s">
        <v>610</v>
      </c>
      <c r="LA4" s="16" t="s">
        <v>611</v>
      </c>
      <c r="LB4" s="16" t="s">
        <v>612</v>
      </c>
      <c r="LC4" s="61" t="s">
        <v>613</v>
      </c>
      <c r="LD4" s="61" t="s">
        <v>614</v>
      </c>
      <c r="LE4" s="61" t="s">
        <v>615</v>
      </c>
      <c r="LF4" s="61" t="s">
        <v>616</v>
      </c>
      <c r="LG4" s="61" t="s">
        <v>617</v>
      </c>
      <c r="LH4" s="16" t="s">
        <v>618</v>
      </c>
      <c r="LI4" s="16" t="s">
        <v>619</v>
      </c>
      <c r="LJ4" s="16" t="s">
        <v>620</v>
      </c>
      <c r="LK4" s="16" t="s">
        <v>621</v>
      </c>
      <c r="LL4" s="16" t="s">
        <v>622</v>
      </c>
      <c r="LM4" s="17" t="s">
        <v>623</v>
      </c>
      <c r="LN4" s="17" t="s">
        <v>624</v>
      </c>
      <c r="LO4" s="17" t="s">
        <v>625</v>
      </c>
      <c r="LP4" s="17" t="s">
        <v>626</v>
      </c>
      <c r="LQ4" s="17" t="s">
        <v>627</v>
      </c>
      <c r="LR4" s="12" t="s">
        <v>628</v>
      </c>
      <c r="LS4" s="12" t="s">
        <v>631</v>
      </c>
      <c r="LT4" s="12" t="s">
        <v>630</v>
      </c>
    </row>
    <row r="5" spans="1:332">
      <c r="A5" s="49" t="str">
        <f>""</f>
        <v/>
      </c>
      <c r="B5" s="49" t="s">
        <v>430</v>
      </c>
      <c r="C5" s="50" t="s">
        <v>453</v>
      </c>
      <c r="D5" s="50" t="s">
        <v>91</v>
      </c>
      <c r="E5" s="50" t="s">
        <v>454</v>
      </c>
      <c r="F5" s="51">
        <v>41715</v>
      </c>
      <c r="G5" s="51">
        <v>41715</v>
      </c>
      <c r="I5" s="52">
        <v>1005</v>
      </c>
      <c r="J5" s="52">
        <v>1033</v>
      </c>
      <c r="O5" s="52">
        <v>1005</v>
      </c>
      <c r="P5" s="52">
        <v>1033</v>
      </c>
      <c r="AA5" s="50" t="s">
        <v>92</v>
      </c>
      <c r="AB5" s="50" t="s">
        <v>93</v>
      </c>
      <c r="AC5" s="50" t="s">
        <v>94</v>
      </c>
      <c r="AD5" s="50" t="s">
        <v>95</v>
      </c>
      <c r="AE5" s="51">
        <v>41715</v>
      </c>
      <c r="AF5" s="53">
        <v>1</v>
      </c>
      <c r="AG5" s="53">
        <v>1000</v>
      </c>
      <c r="AH5" s="53">
        <v>1</v>
      </c>
      <c r="AJ5" s="53">
        <v>1000</v>
      </c>
      <c r="AL5" s="50" t="s">
        <v>455</v>
      </c>
      <c r="AM5" s="50">
        <v>52519</v>
      </c>
      <c r="AN5" s="50" t="s">
        <v>96</v>
      </c>
      <c r="AO5" s="49">
        <v>100000019653855</v>
      </c>
      <c r="AP5" s="50" t="s">
        <v>224</v>
      </c>
      <c r="AQ5" s="36"/>
      <c r="AR5" s="36"/>
      <c r="AS5" s="36"/>
      <c r="AT5" s="36"/>
      <c r="AU5" s="36"/>
      <c r="AV5" s="36"/>
      <c r="AW5" s="36"/>
      <c r="AX5" s="36"/>
      <c r="AY5" s="36"/>
      <c r="AZ5" s="36"/>
      <c r="BA5" s="36"/>
      <c r="BC5" s="50" t="s">
        <v>97</v>
      </c>
      <c r="BF5" s="50">
        <v>52519</v>
      </c>
      <c r="BG5" s="51" t="s">
        <v>456</v>
      </c>
      <c r="BH5" s="51" t="s">
        <v>456</v>
      </c>
      <c r="BJ5" s="58" t="s">
        <v>98</v>
      </c>
      <c r="BZ5" s="50" t="s">
        <v>99</v>
      </c>
      <c r="GH5" s="55"/>
      <c r="KD5" s="15"/>
      <c r="KE5" s="51"/>
      <c r="KH5" s="15"/>
      <c r="KI5" s="15"/>
      <c r="KM5" s="56"/>
      <c r="KN5" s="56"/>
      <c r="KO5" s="56"/>
      <c r="KP5" s="56"/>
      <c r="KQ5" s="56"/>
      <c r="KR5" s="56"/>
      <c r="KS5" s="56"/>
      <c r="KT5" s="56"/>
      <c r="KU5" s="56"/>
      <c r="KV5" s="56"/>
      <c r="KW5" s="56"/>
    </row>
    <row r="6" spans="1:332">
      <c r="B6" s="49" t="s">
        <v>430</v>
      </c>
      <c r="C6" s="50" t="s">
        <v>453</v>
      </c>
      <c r="D6" s="50" t="s">
        <v>91</v>
      </c>
      <c r="E6" s="50" t="s">
        <v>454</v>
      </c>
      <c r="F6" s="51">
        <v>41715</v>
      </c>
      <c r="G6" s="51">
        <v>41715</v>
      </c>
      <c r="I6" s="52">
        <v>1005</v>
      </c>
      <c r="J6" s="52">
        <v>1033</v>
      </c>
      <c r="O6" s="52">
        <v>1005</v>
      </c>
      <c r="P6" s="52">
        <v>1033</v>
      </c>
      <c r="AA6" s="50" t="s">
        <v>92</v>
      </c>
      <c r="AB6" s="50" t="s">
        <v>457</v>
      </c>
      <c r="AC6" s="50" t="s">
        <v>94</v>
      </c>
      <c r="AD6" s="50" t="s">
        <v>95</v>
      </c>
      <c r="AE6" s="51">
        <v>41715</v>
      </c>
      <c r="AF6" s="53">
        <v>1</v>
      </c>
      <c r="AG6" s="53">
        <v>250</v>
      </c>
      <c r="AH6" s="53">
        <v>1</v>
      </c>
      <c r="AJ6" s="53">
        <v>250</v>
      </c>
      <c r="AL6" s="50" t="s">
        <v>455</v>
      </c>
      <c r="AM6" s="50">
        <v>52519</v>
      </c>
      <c r="AN6" s="50" t="s">
        <v>96</v>
      </c>
      <c r="AO6" s="49">
        <v>100000019653855</v>
      </c>
      <c r="AP6" s="50" t="s">
        <v>458</v>
      </c>
      <c r="AQ6" s="36"/>
      <c r="AR6" s="36"/>
      <c r="AS6" s="36"/>
      <c r="AT6" s="36"/>
      <c r="AU6" s="36"/>
      <c r="AV6" s="36"/>
      <c r="AW6" s="36"/>
      <c r="AX6" s="36"/>
      <c r="AY6" s="36"/>
      <c r="AZ6" s="36"/>
      <c r="BA6" s="36"/>
      <c r="BC6" s="50" t="s">
        <v>97</v>
      </c>
      <c r="BF6" s="50">
        <v>52519</v>
      </c>
      <c r="BG6" s="51" t="s">
        <v>456</v>
      </c>
      <c r="BH6" s="51" t="s">
        <v>456</v>
      </c>
      <c r="BJ6" s="58" t="s">
        <v>98</v>
      </c>
      <c r="BZ6" s="50" t="s">
        <v>99</v>
      </c>
      <c r="GH6" s="55"/>
      <c r="KD6" s="15"/>
      <c r="KE6" s="51"/>
      <c r="KH6" s="15"/>
      <c r="KI6" s="15"/>
      <c r="KM6" s="56"/>
      <c r="KN6" s="56"/>
      <c r="KO6" s="56"/>
      <c r="KP6" s="56"/>
      <c r="KQ6" s="56"/>
      <c r="KR6" s="56"/>
      <c r="KS6" s="56"/>
      <c r="KT6" s="56"/>
      <c r="KU6" s="56"/>
      <c r="KV6" s="56"/>
      <c r="KW6" s="56"/>
    </row>
    <row r="7" spans="1:332">
      <c r="B7" s="49" t="s">
        <v>430</v>
      </c>
      <c r="C7" s="50" t="s">
        <v>453</v>
      </c>
      <c r="D7" s="50" t="s">
        <v>91</v>
      </c>
      <c r="E7" s="50" t="s">
        <v>454</v>
      </c>
      <c r="F7" s="51">
        <v>41715</v>
      </c>
      <c r="G7" s="51">
        <v>41715</v>
      </c>
      <c r="I7" s="52">
        <v>1005</v>
      </c>
      <c r="J7" s="52">
        <v>1033</v>
      </c>
      <c r="O7" s="52">
        <v>1005</v>
      </c>
      <c r="P7" s="52">
        <v>1033</v>
      </c>
      <c r="AA7" s="50" t="s">
        <v>92</v>
      </c>
      <c r="AB7" s="50" t="s">
        <v>459</v>
      </c>
      <c r="AC7" s="50" t="s">
        <v>94</v>
      </c>
      <c r="AD7" s="50" t="s">
        <v>95</v>
      </c>
      <c r="AE7" s="51">
        <v>41715</v>
      </c>
      <c r="AF7" s="53">
        <v>1</v>
      </c>
      <c r="AG7" s="53">
        <v>50</v>
      </c>
      <c r="AH7" s="53">
        <v>1</v>
      </c>
      <c r="AJ7" s="53">
        <v>50</v>
      </c>
      <c r="AL7" s="50" t="s">
        <v>455</v>
      </c>
      <c r="AM7" s="50">
        <v>52519</v>
      </c>
      <c r="AN7" s="50" t="s">
        <v>96</v>
      </c>
      <c r="AO7" s="49">
        <v>100000019653855</v>
      </c>
      <c r="AP7" s="50" t="s">
        <v>460</v>
      </c>
      <c r="AQ7" s="36"/>
      <c r="AR7" s="36"/>
      <c r="AS7" s="36"/>
      <c r="AT7" s="36"/>
      <c r="AU7" s="36"/>
      <c r="AV7" s="36"/>
      <c r="AW7" s="36"/>
      <c r="AX7" s="36"/>
      <c r="AY7" s="36"/>
      <c r="AZ7" s="36"/>
      <c r="BA7" s="36"/>
      <c r="BC7" s="50" t="s">
        <v>97</v>
      </c>
      <c r="BF7" s="50">
        <v>52519</v>
      </c>
      <c r="BG7" s="51" t="s">
        <v>456</v>
      </c>
      <c r="BH7" s="51" t="s">
        <v>456</v>
      </c>
      <c r="BJ7" s="58" t="s">
        <v>98</v>
      </c>
      <c r="BZ7" s="50" t="s">
        <v>99</v>
      </c>
      <c r="GH7" s="55"/>
      <c r="KD7" s="15"/>
      <c r="KE7" s="51"/>
      <c r="KH7" s="15"/>
      <c r="KI7" s="15"/>
      <c r="KM7" s="56"/>
      <c r="KN7" s="56"/>
      <c r="KO7" s="56"/>
      <c r="KP7" s="56"/>
      <c r="KQ7" s="56"/>
      <c r="KR7" s="56"/>
      <c r="KS7" s="56"/>
      <c r="KT7" s="56"/>
      <c r="KU7" s="56"/>
      <c r="KV7" s="56"/>
      <c r="KW7" s="56"/>
    </row>
    <row r="8" spans="1:332">
      <c r="B8" s="49" t="s">
        <v>430</v>
      </c>
      <c r="C8" s="50" t="s">
        <v>453</v>
      </c>
      <c r="D8" s="50" t="s">
        <v>91</v>
      </c>
      <c r="E8" s="50" t="s">
        <v>454</v>
      </c>
      <c r="F8" s="51">
        <v>41715</v>
      </c>
      <c r="G8" s="51">
        <v>41715</v>
      </c>
      <c r="I8" s="52">
        <v>1005</v>
      </c>
      <c r="J8" s="52">
        <v>1033</v>
      </c>
      <c r="O8" s="52">
        <v>1005</v>
      </c>
      <c r="P8" s="52">
        <v>1033</v>
      </c>
      <c r="AA8" s="50" t="s">
        <v>92</v>
      </c>
      <c r="AB8" s="50" t="s">
        <v>461</v>
      </c>
      <c r="AC8" s="50" t="s">
        <v>94</v>
      </c>
      <c r="AD8" s="50" t="s">
        <v>95</v>
      </c>
      <c r="AE8" s="51">
        <v>41715</v>
      </c>
      <c r="AF8" s="53">
        <v>1</v>
      </c>
      <c r="AG8" s="53">
        <v>15</v>
      </c>
      <c r="AH8" s="53">
        <v>1</v>
      </c>
      <c r="AJ8" s="53">
        <v>15</v>
      </c>
      <c r="AL8" s="50" t="s">
        <v>455</v>
      </c>
      <c r="AM8" s="50">
        <v>52519</v>
      </c>
      <c r="AN8" s="50" t="s">
        <v>96</v>
      </c>
      <c r="AO8" s="49">
        <v>100000019653855</v>
      </c>
      <c r="AP8" s="50" t="s">
        <v>462</v>
      </c>
      <c r="AQ8" s="36"/>
      <c r="AR8" s="36"/>
      <c r="AS8" s="36"/>
      <c r="AT8" s="36"/>
      <c r="AU8" s="36"/>
      <c r="AV8" s="36"/>
      <c r="AW8" s="36"/>
      <c r="AX8" s="36"/>
      <c r="AY8" s="36"/>
      <c r="AZ8" s="36"/>
      <c r="BA8" s="36"/>
      <c r="BC8" s="50" t="s">
        <v>97</v>
      </c>
      <c r="BF8" s="50">
        <v>52519</v>
      </c>
      <c r="BG8" s="51" t="s">
        <v>456</v>
      </c>
      <c r="BH8" s="51" t="s">
        <v>456</v>
      </c>
      <c r="BJ8" s="58" t="s">
        <v>98</v>
      </c>
      <c r="BZ8" s="50" t="s">
        <v>99</v>
      </c>
      <c r="GH8" s="55"/>
      <c r="KD8" s="15"/>
      <c r="KE8" s="51"/>
      <c r="KH8" s="15"/>
      <c r="KI8" s="15"/>
      <c r="KM8" s="56"/>
      <c r="KN8" s="56"/>
      <c r="KO8" s="56"/>
      <c r="KP8" s="56"/>
      <c r="KQ8" s="56"/>
      <c r="KR8" s="56"/>
      <c r="KS8" s="56"/>
      <c r="KT8" s="56"/>
      <c r="KU8" s="56"/>
      <c r="KV8" s="56"/>
      <c r="KW8" s="56"/>
    </row>
    <row r="9" spans="1:332">
      <c r="B9" s="49" t="s">
        <v>430</v>
      </c>
      <c r="C9" s="50" t="s">
        <v>453</v>
      </c>
      <c r="D9" s="50" t="s">
        <v>91</v>
      </c>
      <c r="E9" s="50" t="s">
        <v>454</v>
      </c>
      <c r="F9" s="51">
        <v>41715</v>
      </c>
      <c r="G9" s="51">
        <v>41715</v>
      </c>
      <c r="I9" s="52">
        <v>1005</v>
      </c>
      <c r="J9" s="52">
        <v>1033</v>
      </c>
      <c r="O9" s="52">
        <v>1005</v>
      </c>
      <c r="P9" s="52">
        <v>1033</v>
      </c>
      <c r="AA9" s="50" t="s">
        <v>92</v>
      </c>
      <c r="AB9" s="50" t="s">
        <v>463</v>
      </c>
      <c r="AC9" s="50" t="s">
        <v>94</v>
      </c>
      <c r="AD9" s="50" t="s">
        <v>95</v>
      </c>
      <c r="AE9" s="51">
        <v>41715</v>
      </c>
      <c r="AF9" s="53">
        <v>1</v>
      </c>
      <c r="AG9" s="53">
        <v>35</v>
      </c>
      <c r="AH9" s="53">
        <v>1</v>
      </c>
      <c r="AJ9" s="53">
        <v>35</v>
      </c>
      <c r="AL9" s="50" t="s">
        <v>455</v>
      </c>
      <c r="AM9" s="50">
        <v>52519</v>
      </c>
      <c r="AN9" s="50" t="s">
        <v>96</v>
      </c>
      <c r="AO9" s="49">
        <v>100000019653855</v>
      </c>
      <c r="AP9" s="50" t="s">
        <v>464</v>
      </c>
      <c r="AQ9" s="36"/>
      <c r="AR9" s="36"/>
      <c r="AS9" s="36"/>
      <c r="AT9" s="36"/>
      <c r="AU9" s="36"/>
      <c r="AV9" s="36"/>
      <c r="AW9" s="36"/>
      <c r="AX9" s="36"/>
      <c r="AY9" s="36"/>
      <c r="AZ9" s="36"/>
      <c r="BA9" s="36"/>
      <c r="BC9" s="50" t="s">
        <v>97</v>
      </c>
      <c r="BF9" s="50">
        <v>52519</v>
      </c>
      <c r="BG9" s="51" t="s">
        <v>456</v>
      </c>
      <c r="BH9" s="51" t="s">
        <v>456</v>
      </c>
      <c r="BJ9" s="58" t="s">
        <v>98</v>
      </c>
      <c r="BZ9" s="50" t="s">
        <v>99</v>
      </c>
      <c r="GH9" s="55"/>
      <c r="KD9" s="15"/>
      <c r="KE9" s="51"/>
      <c r="KH9" s="15"/>
      <c r="KI9" s="15"/>
      <c r="KM9" s="56"/>
      <c r="KN9" s="56"/>
      <c r="KO9" s="56"/>
      <c r="KP9" s="56"/>
      <c r="KQ9" s="56"/>
      <c r="KR9" s="56"/>
      <c r="KS9" s="56"/>
      <c r="KT9" s="56"/>
      <c r="KU9" s="56"/>
      <c r="KV9" s="56"/>
      <c r="KW9" s="56"/>
    </row>
    <row r="10" spans="1:332">
      <c r="B10" s="49" t="s">
        <v>430</v>
      </c>
      <c r="C10" s="50" t="s">
        <v>453</v>
      </c>
      <c r="D10" s="50" t="s">
        <v>91</v>
      </c>
      <c r="E10" s="50" t="s">
        <v>454</v>
      </c>
      <c r="F10" s="51">
        <v>41715</v>
      </c>
      <c r="G10" s="51">
        <v>41715</v>
      </c>
      <c r="I10" s="52">
        <v>1005</v>
      </c>
      <c r="J10" s="52">
        <v>1033</v>
      </c>
      <c r="O10" s="52">
        <v>1005</v>
      </c>
      <c r="P10" s="52">
        <v>1033</v>
      </c>
      <c r="AA10" s="50" t="s">
        <v>92</v>
      </c>
      <c r="AB10" s="50" t="s">
        <v>465</v>
      </c>
      <c r="AC10" s="50" t="s">
        <v>94</v>
      </c>
      <c r="AD10" s="50" t="s">
        <v>95</v>
      </c>
      <c r="AE10" s="51">
        <v>41715</v>
      </c>
      <c r="AF10" s="53">
        <v>1</v>
      </c>
      <c r="AG10" s="53">
        <v>75</v>
      </c>
      <c r="AH10" s="53">
        <v>1</v>
      </c>
      <c r="AJ10" s="53">
        <v>75</v>
      </c>
      <c r="AL10" s="50" t="s">
        <v>455</v>
      </c>
      <c r="AM10" s="50">
        <v>52519</v>
      </c>
      <c r="AN10" s="50" t="s">
        <v>96</v>
      </c>
      <c r="AO10" s="49">
        <v>100000019653855</v>
      </c>
      <c r="AP10" s="50" t="s">
        <v>466</v>
      </c>
      <c r="AQ10" s="36"/>
      <c r="AR10" s="36"/>
      <c r="AS10" s="36"/>
      <c r="AT10" s="36"/>
      <c r="AU10" s="36"/>
      <c r="AV10" s="36"/>
      <c r="AW10" s="36"/>
      <c r="AX10" s="36"/>
      <c r="AY10" s="36"/>
      <c r="AZ10" s="36"/>
      <c r="BA10" s="36"/>
      <c r="BC10" s="50" t="s">
        <v>97</v>
      </c>
      <c r="BF10" s="50">
        <v>52519</v>
      </c>
      <c r="BG10" s="51" t="s">
        <v>456</v>
      </c>
      <c r="BH10" s="51" t="s">
        <v>456</v>
      </c>
      <c r="BJ10" s="58" t="s">
        <v>98</v>
      </c>
      <c r="BZ10" s="50" t="s">
        <v>99</v>
      </c>
      <c r="GH10" s="55"/>
      <c r="KD10" s="15"/>
      <c r="KE10" s="51"/>
      <c r="KH10" s="15"/>
      <c r="KI10" s="15"/>
      <c r="KM10" s="56"/>
      <c r="KN10" s="56"/>
      <c r="KO10" s="56"/>
      <c r="KP10" s="56"/>
      <c r="KQ10" s="56"/>
      <c r="KR10" s="56"/>
      <c r="KS10" s="56"/>
      <c r="KT10" s="56"/>
      <c r="KU10" s="56"/>
      <c r="KV10" s="56"/>
      <c r="KW10" s="56"/>
    </row>
    <row r="11" spans="1:332">
      <c r="B11" s="49" t="s">
        <v>430</v>
      </c>
      <c r="C11" s="50" t="s">
        <v>453</v>
      </c>
      <c r="D11" s="50" t="s">
        <v>91</v>
      </c>
      <c r="E11" s="50" t="s">
        <v>454</v>
      </c>
      <c r="F11" s="51">
        <v>41715</v>
      </c>
      <c r="G11" s="51">
        <v>41715</v>
      </c>
      <c r="I11" s="52">
        <v>1005</v>
      </c>
      <c r="J11" s="52">
        <v>1033</v>
      </c>
      <c r="O11" s="52">
        <v>1005</v>
      </c>
      <c r="P11" s="52">
        <v>1033</v>
      </c>
      <c r="AA11" s="50" t="s">
        <v>92</v>
      </c>
      <c r="AB11" s="50" t="s">
        <v>467</v>
      </c>
      <c r="AC11" s="50" t="s">
        <v>94</v>
      </c>
      <c r="AD11" s="50" t="s">
        <v>95</v>
      </c>
      <c r="AE11" s="51">
        <v>41715</v>
      </c>
      <c r="AF11" s="53">
        <v>1</v>
      </c>
      <c r="AG11" s="53">
        <v>45</v>
      </c>
      <c r="AH11" s="53">
        <v>1</v>
      </c>
      <c r="AJ11" s="53">
        <v>45</v>
      </c>
      <c r="AL11" s="50" t="s">
        <v>455</v>
      </c>
      <c r="AM11" s="50">
        <v>52519</v>
      </c>
      <c r="AN11" s="50" t="s">
        <v>96</v>
      </c>
      <c r="AO11" s="49">
        <v>100000019653855</v>
      </c>
      <c r="AP11" s="50" t="s">
        <v>468</v>
      </c>
      <c r="AQ11" s="36"/>
      <c r="AR11" s="36"/>
      <c r="AS11" s="36"/>
      <c r="AT11" s="36"/>
      <c r="AU11" s="36"/>
      <c r="AV11" s="36"/>
      <c r="AW11" s="36"/>
      <c r="AX11" s="36"/>
      <c r="AY11" s="36"/>
      <c r="AZ11" s="36"/>
      <c r="BA11" s="36"/>
      <c r="BC11" s="50" t="s">
        <v>97</v>
      </c>
      <c r="BF11" s="50">
        <v>52519</v>
      </c>
      <c r="BG11" s="51" t="s">
        <v>456</v>
      </c>
      <c r="BH11" s="51" t="s">
        <v>456</v>
      </c>
      <c r="BJ11" s="58" t="s">
        <v>98</v>
      </c>
      <c r="BZ11" s="50" t="s">
        <v>99</v>
      </c>
      <c r="GH11" s="55"/>
      <c r="KD11" s="15"/>
      <c r="KE11" s="51"/>
      <c r="KH11" s="15"/>
      <c r="KI11" s="15"/>
      <c r="KM11" s="56"/>
      <c r="KN11" s="56"/>
      <c r="KO11" s="56"/>
      <c r="KP11" s="56"/>
      <c r="KQ11" s="56"/>
      <c r="KR11" s="56"/>
      <c r="KS11" s="56"/>
      <c r="KT11" s="56"/>
      <c r="KU11" s="56"/>
      <c r="KV11" s="56"/>
      <c r="KW11" s="56"/>
    </row>
    <row r="12" spans="1:332">
      <c r="B12" s="49" t="s">
        <v>430</v>
      </c>
      <c r="C12" s="50" t="s">
        <v>453</v>
      </c>
      <c r="D12" s="50" t="s">
        <v>91</v>
      </c>
      <c r="E12" s="50" t="s">
        <v>454</v>
      </c>
      <c r="F12" s="51">
        <v>41715</v>
      </c>
      <c r="G12" s="51">
        <v>41715</v>
      </c>
      <c r="I12" s="52">
        <v>1005</v>
      </c>
      <c r="J12" s="52">
        <v>1033</v>
      </c>
      <c r="O12" s="52">
        <v>1005</v>
      </c>
      <c r="P12" s="52">
        <v>1033</v>
      </c>
      <c r="AA12" s="50" t="s">
        <v>92</v>
      </c>
      <c r="AB12" s="50" t="s">
        <v>469</v>
      </c>
      <c r="AC12" s="50" t="s">
        <v>94</v>
      </c>
      <c r="AD12" s="50" t="s">
        <v>95</v>
      </c>
      <c r="AE12" s="51">
        <v>41715</v>
      </c>
      <c r="AF12" s="53">
        <v>1</v>
      </c>
      <c r="AG12" s="53">
        <v>92</v>
      </c>
      <c r="AH12" s="53">
        <v>2</v>
      </c>
      <c r="AJ12" s="53">
        <v>46</v>
      </c>
      <c r="AL12" s="50" t="s">
        <v>455</v>
      </c>
      <c r="AM12" s="50">
        <v>52519</v>
      </c>
      <c r="AN12" s="50" t="s">
        <v>96</v>
      </c>
      <c r="AO12" s="49">
        <v>100000019653855</v>
      </c>
      <c r="AP12" s="50" t="s">
        <v>470</v>
      </c>
      <c r="AQ12" s="36"/>
      <c r="AR12" s="36"/>
      <c r="AS12" s="36"/>
      <c r="AT12" s="36"/>
      <c r="AU12" s="36"/>
      <c r="AV12" s="36"/>
      <c r="AW12" s="36"/>
      <c r="AX12" s="36"/>
      <c r="AY12" s="36"/>
      <c r="AZ12" s="36"/>
      <c r="BA12" s="36"/>
      <c r="BC12" s="50" t="s">
        <v>97</v>
      </c>
      <c r="BF12" s="50">
        <v>52519</v>
      </c>
      <c r="BG12" s="51" t="s">
        <v>456</v>
      </c>
      <c r="BH12" s="51" t="s">
        <v>456</v>
      </c>
      <c r="BJ12" s="58" t="s">
        <v>98</v>
      </c>
      <c r="BZ12" s="50" t="s">
        <v>99</v>
      </c>
      <c r="GH12" s="55"/>
      <c r="KD12" s="15"/>
      <c r="KE12" s="51"/>
      <c r="KH12" s="15"/>
      <c r="KI12" s="15"/>
      <c r="KM12" s="56"/>
      <c r="KN12" s="56"/>
      <c r="KO12" s="56"/>
      <c r="KP12" s="56"/>
      <c r="KQ12" s="56"/>
      <c r="KR12" s="56"/>
      <c r="KS12" s="56"/>
      <c r="KT12" s="56"/>
      <c r="KU12" s="56"/>
      <c r="KV12" s="56"/>
      <c r="KW12" s="56"/>
    </row>
    <row r="13" spans="1:332">
      <c r="B13" s="49" t="s">
        <v>430</v>
      </c>
      <c r="C13" s="50" t="s">
        <v>453</v>
      </c>
      <c r="D13" s="50" t="s">
        <v>91</v>
      </c>
      <c r="E13" s="50" t="s">
        <v>454</v>
      </c>
      <c r="F13" s="51">
        <v>41715</v>
      </c>
      <c r="G13" s="51">
        <v>41715</v>
      </c>
      <c r="I13" s="52">
        <v>1005</v>
      </c>
      <c r="J13" s="52">
        <v>1033</v>
      </c>
      <c r="O13" s="52">
        <v>1005</v>
      </c>
      <c r="P13" s="52">
        <v>1033</v>
      </c>
      <c r="AA13" s="50" t="s">
        <v>92</v>
      </c>
      <c r="AB13" s="50" t="s">
        <v>471</v>
      </c>
      <c r="AC13" s="50" t="s">
        <v>94</v>
      </c>
      <c r="AD13" s="50" t="s">
        <v>95</v>
      </c>
      <c r="AE13" s="51">
        <v>41715</v>
      </c>
      <c r="AF13" s="53">
        <v>1</v>
      </c>
      <c r="AG13" s="53">
        <v>95</v>
      </c>
      <c r="AH13" s="53">
        <v>1</v>
      </c>
      <c r="AJ13" s="53">
        <v>95</v>
      </c>
      <c r="AL13" s="50" t="s">
        <v>455</v>
      </c>
      <c r="AM13" s="50">
        <v>52519</v>
      </c>
      <c r="AN13" s="50" t="s">
        <v>96</v>
      </c>
      <c r="AO13" s="49">
        <v>100000019653855</v>
      </c>
      <c r="AP13" s="50" t="s">
        <v>472</v>
      </c>
      <c r="AQ13" s="36"/>
      <c r="AR13" s="36"/>
      <c r="AS13" s="36"/>
      <c r="AT13" s="36"/>
      <c r="AU13" s="36"/>
      <c r="AV13" s="36"/>
      <c r="AW13" s="36"/>
      <c r="AX13" s="36"/>
      <c r="AY13" s="36"/>
      <c r="AZ13" s="36"/>
      <c r="BA13" s="36"/>
      <c r="BC13" s="50" t="s">
        <v>97</v>
      </c>
      <c r="BF13" s="50">
        <v>52519</v>
      </c>
      <c r="BG13" s="51" t="s">
        <v>456</v>
      </c>
      <c r="BH13" s="51" t="s">
        <v>456</v>
      </c>
      <c r="BJ13" s="58" t="s">
        <v>98</v>
      </c>
      <c r="BZ13" s="50" t="s">
        <v>99</v>
      </c>
      <c r="GH13" s="55"/>
      <c r="KD13" s="15"/>
      <c r="KE13" s="51"/>
      <c r="KH13" s="15"/>
      <c r="KI13" s="15"/>
      <c r="KM13" s="56"/>
      <c r="KN13" s="56"/>
      <c r="KO13" s="56"/>
      <c r="KP13" s="56"/>
      <c r="KQ13" s="56"/>
      <c r="KR13" s="56"/>
      <c r="KS13" s="56"/>
      <c r="KT13" s="56"/>
      <c r="KU13" s="56"/>
      <c r="KV13" s="56"/>
      <c r="KW13" s="56"/>
    </row>
    <row r="14" spans="1:332">
      <c r="B14" s="49" t="s">
        <v>430</v>
      </c>
      <c r="C14" s="50" t="s">
        <v>453</v>
      </c>
      <c r="D14" s="50" t="s">
        <v>91</v>
      </c>
      <c r="E14" s="50" t="s">
        <v>454</v>
      </c>
      <c r="F14" s="51">
        <v>41715</v>
      </c>
      <c r="G14" s="51">
        <v>41715</v>
      </c>
      <c r="I14" s="52">
        <v>1005</v>
      </c>
      <c r="J14" s="52">
        <v>1033</v>
      </c>
      <c r="O14" s="52">
        <v>1005</v>
      </c>
      <c r="P14" s="52">
        <v>1033</v>
      </c>
      <c r="AA14" s="50" t="s">
        <v>92</v>
      </c>
      <c r="AB14" s="50" t="s">
        <v>473</v>
      </c>
      <c r="AC14" s="50" t="s">
        <v>94</v>
      </c>
      <c r="AD14" s="50" t="s">
        <v>95</v>
      </c>
      <c r="AE14" s="51">
        <v>41715</v>
      </c>
      <c r="AF14" s="53">
        <v>1</v>
      </c>
      <c r="AG14" s="53">
        <v>44</v>
      </c>
      <c r="AH14" s="53">
        <v>1</v>
      </c>
      <c r="AJ14" s="53">
        <v>44</v>
      </c>
      <c r="AL14" s="50" t="s">
        <v>455</v>
      </c>
      <c r="AM14" s="50">
        <v>52519</v>
      </c>
      <c r="AN14" s="50" t="s">
        <v>96</v>
      </c>
      <c r="AO14" s="49">
        <v>100000019653855</v>
      </c>
      <c r="AP14" s="50" t="s">
        <v>474</v>
      </c>
      <c r="AQ14" s="36"/>
      <c r="AR14" s="36"/>
      <c r="AS14" s="36"/>
      <c r="AT14" s="36"/>
      <c r="AU14" s="36"/>
      <c r="AV14" s="36"/>
      <c r="AW14" s="36"/>
      <c r="AX14" s="36"/>
      <c r="AY14" s="36"/>
      <c r="AZ14" s="36"/>
      <c r="BA14" s="36"/>
      <c r="BC14" s="50" t="s">
        <v>97</v>
      </c>
      <c r="BF14" s="50">
        <v>52519</v>
      </c>
      <c r="BG14" s="51" t="s">
        <v>456</v>
      </c>
      <c r="BH14" s="51" t="s">
        <v>456</v>
      </c>
      <c r="BJ14" s="58" t="s">
        <v>98</v>
      </c>
      <c r="BZ14" s="50" t="s">
        <v>99</v>
      </c>
      <c r="GH14" s="55"/>
      <c r="KD14" s="15"/>
      <c r="KE14" s="51"/>
      <c r="KH14" s="15"/>
      <c r="KI14" s="15"/>
      <c r="KM14" s="56"/>
      <c r="KN14" s="56"/>
      <c r="KO14" s="56"/>
      <c r="KP14" s="56"/>
      <c r="KQ14" s="56"/>
      <c r="KR14" s="56"/>
      <c r="KS14" s="56"/>
      <c r="KT14" s="56"/>
      <c r="KU14" s="56"/>
      <c r="KV14" s="56"/>
      <c r="KW14" s="56"/>
    </row>
    <row r="15" spans="1:332">
      <c r="B15" s="49" t="s">
        <v>430</v>
      </c>
      <c r="C15" s="50" t="s">
        <v>453</v>
      </c>
      <c r="D15" s="50" t="s">
        <v>91</v>
      </c>
      <c r="E15" s="50" t="s">
        <v>454</v>
      </c>
      <c r="F15" s="51">
        <v>41715</v>
      </c>
      <c r="G15" s="51">
        <v>41715</v>
      </c>
      <c r="I15" s="52">
        <v>1005</v>
      </c>
      <c r="J15" s="52">
        <v>1033</v>
      </c>
      <c r="O15" s="52">
        <v>1005</v>
      </c>
      <c r="P15" s="52">
        <v>1033</v>
      </c>
      <c r="AA15" s="50" t="s">
        <v>92</v>
      </c>
      <c r="AB15" s="50" t="s">
        <v>475</v>
      </c>
      <c r="AC15" s="50" t="s">
        <v>94</v>
      </c>
      <c r="AD15" s="50" t="s">
        <v>95</v>
      </c>
      <c r="AE15" s="51">
        <v>41715</v>
      </c>
      <c r="AF15" s="53">
        <v>1</v>
      </c>
      <c r="AG15" s="53">
        <v>222</v>
      </c>
      <c r="AH15" s="53">
        <v>1</v>
      </c>
      <c r="AJ15" s="53">
        <v>222</v>
      </c>
      <c r="AL15" s="50" t="s">
        <v>455</v>
      </c>
      <c r="AM15" s="50">
        <v>52519</v>
      </c>
      <c r="AN15" s="50" t="s">
        <v>96</v>
      </c>
      <c r="AO15" s="49">
        <v>100000019653855</v>
      </c>
      <c r="AP15" s="50" t="s">
        <v>476</v>
      </c>
      <c r="AQ15" s="36"/>
      <c r="AR15" s="36"/>
      <c r="AS15" s="36"/>
      <c r="AT15" s="36"/>
      <c r="AU15" s="36"/>
      <c r="AV15" s="36"/>
      <c r="AW15" s="36"/>
      <c r="AX15" s="36"/>
      <c r="AY15" s="36"/>
      <c r="AZ15" s="36"/>
      <c r="BA15" s="36"/>
      <c r="BC15" s="50" t="s">
        <v>97</v>
      </c>
      <c r="BF15" s="50">
        <v>52519</v>
      </c>
      <c r="BG15" s="51" t="s">
        <v>456</v>
      </c>
      <c r="BH15" s="51" t="s">
        <v>456</v>
      </c>
      <c r="BJ15" s="58" t="s">
        <v>98</v>
      </c>
      <c r="BZ15" s="50" t="s">
        <v>99</v>
      </c>
      <c r="GH15" s="55"/>
      <c r="KD15" s="15"/>
      <c r="KE15" s="51"/>
      <c r="KH15" s="15"/>
      <c r="KI15" s="15"/>
      <c r="KM15" s="56"/>
      <c r="KN15" s="56"/>
      <c r="KO15" s="56"/>
      <c r="KP15" s="56"/>
      <c r="KQ15" s="56"/>
      <c r="KR15" s="56"/>
      <c r="KS15" s="56"/>
      <c r="KT15" s="56"/>
      <c r="KU15" s="56"/>
      <c r="KV15" s="56"/>
      <c r="KW15" s="56"/>
    </row>
    <row r="16" spans="1:332">
      <c r="B16" s="49" t="s">
        <v>430</v>
      </c>
      <c r="C16" s="50" t="s">
        <v>453</v>
      </c>
      <c r="D16" s="50" t="s">
        <v>91</v>
      </c>
      <c r="E16" s="50" t="s">
        <v>454</v>
      </c>
      <c r="F16" s="51">
        <v>41715</v>
      </c>
      <c r="G16" s="51">
        <v>41715</v>
      </c>
      <c r="I16" s="52">
        <v>1005</v>
      </c>
      <c r="J16" s="52">
        <v>1033</v>
      </c>
      <c r="O16" s="52">
        <v>1005</v>
      </c>
      <c r="P16" s="52">
        <v>1033</v>
      </c>
      <c r="AA16" s="50" t="s">
        <v>92</v>
      </c>
      <c r="AB16" s="50" t="s">
        <v>477</v>
      </c>
      <c r="AC16" s="50" t="s">
        <v>94</v>
      </c>
      <c r="AD16" s="50" t="s">
        <v>95</v>
      </c>
      <c r="AE16" s="51">
        <v>41715</v>
      </c>
      <c r="AF16" s="53">
        <v>1</v>
      </c>
      <c r="AG16" s="53">
        <v>121</v>
      </c>
      <c r="AH16" s="53">
        <v>1</v>
      </c>
      <c r="AJ16" s="53">
        <v>121</v>
      </c>
      <c r="AL16" s="50" t="s">
        <v>455</v>
      </c>
      <c r="AM16" s="50">
        <v>52519</v>
      </c>
      <c r="AN16" s="50" t="s">
        <v>96</v>
      </c>
      <c r="AO16" s="49">
        <v>100000019653855</v>
      </c>
      <c r="AP16" s="50" t="s">
        <v>478</v>
      </c>
      <c r="AQ16" s="36"/>
      <c r="AR16" s="36"/>
      <c r="AS16" s="36"/>
      <c r="AT16" s="36"/>
      <c r="AU16" s="36"/>
      <c r="AV16" s="36"/>
      <c r="AW16" s="36"/>
      <c r="AX16" s="36"/>
      <c r="AY16" s="36"/>
      <c r="AZ16" s="36"/>
      <c r="BA16" s="36"/>
      <c r="BC16" s="50" t="s">
        <v>97</v>
      </c>
      <c r="BF16" s="50">
        <v>52519</v>
      </c>
      <c r="BG16" s="51" t="s">
        <v>456</v>
      </c>
      <c r="BH16" s="51" t="s">
        <v>456</v>
      </c>
      <c r="BJ16" s="58" t="s">
        <v>98</v>
      </c>
      <c r="BZ16" s="50" t="s">
        <v>99</v>
      </c>
      <c r="GH16" s="55"/>
      <c r="KD16" s="15"/>
      <c r="KE16" s="51"/>
      <c r="KH16" s="15"/>
      <c r="KI16" s="15"/>
      <c r="KM16" s="56"/>
      <c r="KN16" s="56"/>
      <c r="KO16" s="56"/>
      <c r="KP16" s="56"/>
      <c r="KQ16" s="56"/>
      <c r="KR16" s="56"/>
      <c r="KS16" s="56"/>
      <c r="KT16" s="56"/>
      <c r="KU16" s="56"/>
      <c r="KV16" s="56"/>
      <c r="KW16" s="56"/>
    </row>
    <row r="17" spans="2:309">
      <c r="B17" s="49" t="s">
        <v>430</v>
      </c>
      <c r="C17" s="50" t="s">
        <v>453</v>
      </c>
      <c r="D17" s="50" t="s">
        <v>91</v>
      </c>
      <c r="E17" s="50" t="s">
        <v>454</v>
      </c>
      <c r="F17" s="51">
        <v>41715</v>
      </c>
      <c r="G17" s="51">
        <v>41715</v>
      </c>
      <c r="I17" s="52">
        <v>1005</v>
      </c>
      <c r="J17" s="52">
        <v>1033</v>
      </c>
      <c r="O17" s="52">
        <v>1005</v>
      </c>
      <c r="P17" s="52">
        <v>1033</v>
      </c>
      <c r="AA17" s="50" t="s">
        <v>92</v>
      </c>
      <c r="AB17" s="50" t="s">
        <v>479</v>
      </c>
      <c r="AC17" s="50" t="s">
        <v>94</v>
      </c>
      <c r="AD17" s="50" t="s">
        <v>95</v>
      </c>
      <c r="AE17" s="51">
        <v>41715</v>
      </c>
      <c r="AF17" s="53">
        <v>1</v>
      </c>
      <c r="AG17" s="53">
        <v>180</v>
      </c>
      <c r="AH17" s="53">
        <v>1</v>
      </c>
      <c r="AJ17" s="53">
        <v>180</v>
      </c>
      <c r="AL17" s="50" t="s">
        <v>455</v>
      </c>
      <c r="AM17" s="50">
        <v>52519</v>
      </c>
      <c r="AN17" s="50" t="s">
        <v>96</v>
      </c>
      <c r="AO17" s="49">
        <v>100000019653855</v>
      </c>
      <c r="AP17" s="50" t="s">
        <v>480</v>
      </c>
      <c r="AQ17" s="36"/>
      <c r="AR17" s="36"/>
      <c r="AS17" s="36"/>
      <c r="AT17" s="36"/>
      <c r="AU17" s="36"/>
      <c r="AV17" s="36"/>
      <c r="AW17" s="36"/>
      <c r="AX17" s="36"/>
      <c r="AY17" s="36"/>
      <c r="AZ17" s="36"/>
      <c r="BA17" s="36"/>
      <c r="BC17" s="50" t="s">
        <v>97</v>
      </c>
      <c r="BF17" s="50">
        <v>52519</v>
      </c>
      <c r="BG17" s="51" t="s">
        <v>456</v>
      </c>
      <c r="BH17" s="51" t="s">
        <v>456</v>
      </c>
      <c r="BJ17" s="58" t="s">
        <v>98</v>
      </c>
      <c r="BZ17" s="50" t="s">
        <v>99</v>
      </c>
      <c r="GH17" s="55"/>
      <c r="KD17" s="15"/>
      <c r="KE17" s="51"/>
      <c r="KH17" s="15"/>
      <c r="KI17" s="15"/>
      <c r="KM17" s="56"/>
      <c r="KN17" s="56"/>
      <c r="KO17" s="56"/>
      <c r="KP17" s="56"/>
      <c r="KQ17" s="56"/>
      <c r="KR17" s="56"/>
      <c r="KS17" s="56"/>
      <c r="KT17" s="56"/>
      <c r="KU17" s="56"/>
      <c r="KV17" s="56"/>
      <c r="KW17" s="56"/>
    </row>
    <row r="18" spans="2:309">
      <c r="B18" s="49" t="s">
        <v>430</v>
      </c>
      <c r="C18" s="50" t="s">
        <v>453</v>
      </c>
      <c r="D18" s="50" t="s">
        <v>91</v>
      </c>
      <c r="E18" s="50" t="s">
        <v>454</v>
      </c>
      <c r="F18" s="51">
        <v>41715</v>
      </c>
      <c r="G18" s="51">
        <v>41715</v>
      </c>
      <c r="I18" s="52">
        <v>1005</v>
      </c>
      <c r="J18" s="52">
        <v>1033</v>
      </c>
      <c r="O18" s="52">
        <v>1005</v>
      </c>
      <c r="P18" s="52">
        <v>1033</v>
      </c>
      <c r="AA18" s="50" t="s">
        <v>92</v>
      </c>
      <c r="AB18" s="50" t="s">
        <v>481</v>
      </c>
      <c r="AC18" s="50" t="s">
        <v>94</v>
      </c>
      <c r="AD18" s="50" t="s">
        <v>95</v>
      </c>
      <c r="AE18" s="51">
        <v>41715</v>
      </c>
      <c r="AF18" s="53">
        <v>1</v>
      </c>
      <c r="AG18" s="53">
        <v>380</v>
      </c>
      <c r="AH18" s="53">
        <v>1</v>
      </c>
      <c r="AJ18" s="53">
        <v>380</v>
      </c>
      <c r="AL18" s="50" t="s">
        <v>455</v>
      </c>
      <c r="AM18" s="50">
        <v>52519</v>
      </c>
      <c r="AN18" s="50" t="s">
        <v>96</v>
      </c>
      <c r="AO18" s="49">
        <v>100000019653855</v>
      </c>
      <c r="AP18" s="50" t="s">
        <v>482</v>
      </c>
      <c r="AQ18" s="36"/>
      <c r="AR18" s="36"/>
      <c r="AS18" s="36"/>
      <c r="AT18" s="36"/>
      <c r="AU18" s="36"/>
      <c r="AV18" s="36"/>
      <c r="AW18" s="36"/>
      <c r="AX18" s="36"/>
      <c r="AY18" s="36"/>
      <c r="AZ18" s="36"/>
      <c r="BA18" s="36"/>
      <c r="BC18" s="50" t="s">
        <v>97</v>
      </c>
      <c r="BF18" s="50">
        <v>52519</v>
      </c>
      <c r="BG18" s="51" t="s">
        <v>456</v>
      </c>
      <c r="BH18" s="51" t="s">
        <v>456</v>
      </c>
      <c r="BJ18" s="58" t="s">
        <v>98</v>
      </c>
      <c r="BZ18" s="50" t="s">
        <v>99</v>
      </c>
      <c r="GH18" s="55"/>
      <c r="KD18" s="15"/>
      <c r="KE18" s="51"/>
      <c r="KH18" s="15"/>
      <c r="KI18" s="15"/>
      <c r="KM18" s="56"/>
      <c r="KN18" s="56"/>
      <c r="KO18" s="56"/>
      <c r="KP18" s="56"/>
      <c r="KQ18" s="56"/>
      <c r="KR18" s="56"/>
      <c r="KS18" s="56"/>
      <c r="KT18" s="56"/>
      <c r="KU18" s="56"/>
      <c r="KV18" s="56"/>
      <c r="KW18" s="56"/>
    </row>
    <row r="19" spans="2:309">
      <c r="B19" s="49" t="s">
        <v>430</v>
      </c>
      <c r="C19" s="50" t="s">
        <v>453</v>
      </c>
      <c r="D19" s="50" t="s">
        <v>91</v>
      </c>
      <c r="E19" s="50" t="s">
        <v>454</v>
      </c>
      <c r="F19" s="51">
        <v>41715</v>
      </c>
      <c r="G19" s="51">
        <v>41715</v>
      </c>
      <c r="I19" s="52">
        <v>1005</v>
      </c>
      <c r="J19" s="52">
        <v>1033</v>
      </c>
      <c r="O19" s="52">
        <v>1005</v>
      </c>
      <c r="P19" s="52">
        <v>1033</v>
      </c>
      <c r="AA19" s="50" t="s">
        <v>92</v>
      </c>
      <c r="AB19" s="50" t="s">
        <v>481</v>
      </c>
      <c r="AC19" s="50" t="s">
        <v>94</v>
      </c>
      <c r="AD19" s="50" t="s">
        <v>95</v>
      </c>
      <c r="AE19" s="51">
        <v>41715</v>
      </c>
      <c r="AF19" s="53">
        <v>1</v>
      </c>
      <c r="AG19" s="53">
        <v>42</v>
      </c>
      <c r="AH19" s="53">
        <v>1</v>
      </c>
      <c r="AJ19" s="53">
        <v>42</v>
      </c>
      <c r="AL19" s="50" t="s">
        <v>455</v>
      </c>
      <c r="AM19" s="50">
        <v>52519</v>
      </c>
      <c r="AN19" s="50" t="s">
        <v>96</v>
      </c>
      <c r="AO19" s="49">
        <v>100000019653855</v>
      </c>
      <c r="AP19" s="50" t="s">
        <v>483</v>
      </c>
      <c r="AQ19" s="36"/>
      <c r="AR19" s="36"/>
      <c r="AS19" s="36"/>
      <c r="AT19" s="36"/>
      <c r="AU19" s="36"/>
      <c r="AV19" s="36"/>
      <c r="AW19" s="36"/>
      <c r="AX19" s="36"/>
      <c r="AY19" s="36"/>
      <c r="AZ19" s="36"/>
      <c r="BA19" s="36"/>
      <c r="BC19" s="50" t="s">
        <v>97</v>
      </c>
      <c r="BF19" s="50">
        <v>52519</v>
      </c>
      <c r="BG19" s="51" t="s">
        <v>456</v>
      </c>
      <c r="BH19" s="51" t="s">
        <v>456</v>
      </c>
      <c r="BJ19" s="58" t="s">
        <v>98</v>
      </c>
      <c r="BZ19" s="50" t="s">
        <v>99</v>
      </c>
      <c r="GH19" s="55"/>
      <c r="KD19" s="15"/>
      <c r="KE19" s="51"/>
      <c r="KH19" s="15"/>
      <c r="KI19" s="15"/>
      <c r="KM19" s="56"/>
      <c r="KN19" s="56"/>
      <c r="KO19" s="56"/>
      <c r="KP19" s="56"/>
      <c r="KQ19" s="56"/>
      <c r="KR19" s="56"/>
      <c r="KS19" s="56"/>
      <c r="KT19" s="56"/>
      <c r="KU19" s="56"/>
      <c r="KV19" s="56"/>
      <c r="KW19" s="56"/>
    </row>
    <row r="20" spans="2:309">
      <c r="B20" s="49" t="s">
        <v>430</v>
      </c>
      <c r="C20" s="50" t="s">
        <v>453</v>
      </c>
      <c r="D20" s="50" t="s">
        <v>91</v>
      </c>
      <c r="E20" s="50" t="s">
        <v>454</v>
      </c>
      <c r="F20" s="51">
        <v>41715</v>
      </c>
      <c r="G20" s="51">
        <v>41715</v>
      </c>
      <c r="I20" s="52">
        <v>1005</v>
      </c>
      <c r="J20" s="52">
        <v>1033</v>
      </c>
      <c r="O20" s="52">
        <v>1005</v>
      </c>
      <c r="P20" s="52">
        <v>1033</v>
      </c>
      <c r="AA20" s="50" t="s">
        <v>92</v>
      </c>
      <c r="AB20" s="50" t="s">
        <v>481</v>
      </c>
      <c r="AC20" s="50" t="s">
        <v>94</v>
      </c>
      <c r="AD20" s="50" t="s">
        <v>95</v>
      </c>
      <c r="AE20" s="51">
        <v>41715</v>
      </c>
      <c r="AF20" s="53">
        <v>1</v>
      </c>
      <c r="AG20" s="53">
        <v>34</v>
      </c>
      <c r="AH20" s="53">
        <v>1</v>
      </c>
      <c r="AJ20" s="53">
        <v>34</v>
      </c>
      <c r="AL20" s="50" t="s">
        <v>455</v>
      </c>
      <c r="AM20" s="50">
        <v>52519</v>
      </c>
      <c r="AN20" s="50" t="s">
        <v>96</v>
      </c>
      <c r="AO20" s="49">
        <v>100000019653855</v>
      </c>
      <c r="AP20" s="50" t="s">
        <v>484</v>
      </c>
      <c r="AQ20" s="36"/>
      <c r="AR20" s="36"/>
      <c r="AS20" s="36"/>
      <c r="AT20" s="36"/>
      <c r="AU20" s="36"/>
      <c r="AV20" s="36"/>
      <c r="AW20" s="36"/>
      <c r="AX20" s="36"/>
      <c r="AY20" s="36"/>
      <c r="AZ20" s="36"/>
      <c r="BA20" s="36"/>
      <c r="BC20" s="50" t="s">
        <v>97</v>
      </c>
      <c r="BF20" s="50">
        <v>52519</v>
      </c>
      <c r="BG20" s="51" t="s">
        <v>456</v>
      </c>
      <c r="BH20" s="51" t="s">
        <v>456</v>
      </c>
      <c r="BJ20" s="58" t="s">
        <v>98</v>
      </c>
      <c r="BZ20" s="50" t="s">
        <v>99</v>
      </c>
      <c r="GH20" s="55"/>
      <c r="KD20" s="15"/>
      <c r="KE20" s="51"/>
      <c r="KH20" s="15"/>
      <c r="KI20" s="15"/>
      <c r="KM20" s="56"/>
      <c r="KN20" s="56"/>
      <c r="KO20" s="56"/>
      <c r="KP20" s="56"/>
      <c r="KQ20" s="56"/>
      <c r="KR20" s="56"/>
      <c r="KS20" s="56"/>
      <c r="KT20" s="56"/>
      <c r="KU20" s="56"/>
      <c r="KV20" s="56"/>
      <c r="KW20" s="56"/>
    </row>
    <row r="21" spans="2:309">
      <c r="B21" s="49" t="s">
        <v>430</v>
      </c>
      <c r="C21" s="50" t="s">
        <v>453</v>
      </c>
      <c r="D21" s="50" t="s">
        <v>91</v>
      </c>
      <c r="E21" s="50" t="s">
        <v>454</v>
      </c>
      <c r="F21" s="51">
        <v>41715</v>
      </c>
      <c r="G21" s="51">
        <v>41715</v>
      </c>
      <c r="I21" s="52">
        <v>1005</v>
      </c>
      <c r="J21" s="52">
        <v>1033</v>
      </c>
      <c r="O21" s="52">
        <v>1005</v>
      </c>
      <c r="P21" s="52">
        <v>1033</v>
      </c>
      <c r="AA21" s="50" t="s">
        <v>92</v>
      </c>
      <c r="AB21" s="50" t="s">
        <v>481</v>
      </c>
      <c r="AC21" s="50" t="s">
        <v>94</v>
      </c>
      <c r="AD21" s="50" t="s">
        <v>95</v>
      </c>
      <c r="AE21" s="51">
        <v>41715</v>
      </c>
      <c r="AF21" s="53">
        <v>1</v>
      </c>
      <c r="AG21" s="53">
        <v>75</v>
      </c>
      <c r="AH21" s="53">
        <v>1</v>
      </c>
      <c r="AJ21" s="53">
        <v>75</v>
      </c>
      <c r="AL21" s="50" t="s">
        <v>455</v>
      </c>
      <c r="AM21" s="50">
        <v>52519</v>
      </c>
      <c r="AN21" s="50" t="s">
        <v>96</v>
      </c>
      <c r="AO21" s="49">
        <v>100000019653855</v>
      </c>
      <c r="AP21" s="50" t="s">
        <v>485</v>
      </c>
      <c r="AQ21" s="36"/>
      <c r="AR21" s="36"/>
      <c r="AS21" s="36"/>
      <c r="AT21" s="36"/>
      <c r="AU21" s="36"/>
      <c r="AV21" s="36"/>
      <c r="AW21" s="36"/>
      <c r="AX21" s="36"/>
      <c r="AY21" s="36"/>
      <c r="AZ21" s="36"/>
      <c r="BA21" s="36"/>
      <c r="BC21" s="50" t="s">
        <v>97</v>
      </c>
      <c r="BF21" s="50">
        <v>52519</v>
      </c>
      <c r="BG21" s="51" t="s">
        <v>456</v>
      </c>
      <c r="BH21" s="51" t="s">
        <v>456</v>
      </c>
      <c r="BJ21" s="58" t="s">
        <v>98</v>
      </c>
      <c r="BZ21" s="50" t="s">
        <v>99</v>
      </c>
      <c r="GH21" s="55"/>
      <c r="KD21" s="15"/>
      <c r="KE21" s="51"/>
      <c r="KH21" s="15"/>
      <c r="KI21" s="15"/>
      <c r="KM21" s="56"/>
      <c r="KN21" s="56"/>
      <c r="KO21" s="56"/>
      <c r="KP21" s="56"/>
      <c r="KQ21" s="56"/>
      <c r="KR21" s="56"/>
      <c r="KS21" s="56"/>
      <c r="KT21" s="56"/>
      <c r="KU21" s="56"/>
      <c r="KV21" s="56"/>
      <c r="KW21" s="56"/>
    </row>
    <row r="22" spans="2:309">
      <c r="B22" s="49" t="s">
        <v>430</v>
      </c>
      <c r="C22" s="50" t="s">
        <v>453</v>
      </c>
      <c r="D22" s="50" t="s">
        <v>91</v>
      </c>
      <c r="E22" s="50" t="s">
        <v>454</v>
      </c>
      <c r="F22" s="51">
        <v>41715</v>
      </c>
      <c r="G22" s="51">
        <v>41715</v>
      </c>
      <c r="I22" s="52">
        <v>1005</v>
      </c>
      <c r="J22" s="52">
        <v>1033</v>
      </c>
      <c r="O22" s="52">
        <v>1005</v>
      </c>
      <c r="P22" s="52">
        <v>1033</v>
      </c>
      <c r="AA22" s="50" t="s">
        <v>92</v>
      </c>
      <c r="AB22" s="50" t="s">
        <v>481</v>
      </c>
      <c r="AC22" s="50" t="s">
        <v>94</v>
      </c>
      <c r="AD22" s="50" t="s">
        <v>95</v>
      </c>
      <c r="AE22" s="51">
        <v>41715</v>
      </c>
      <c r="AF22" s="53">
        <v>1</v>
      </c>
      <c r="AG22" s="53">
        <v>390</v>
      </c>
      <c r="AH22" s="53">
        <v>1</v>
      </c>
      <c r="AJ22" s="53">
        <v>390</v>
      </c>
      <c r="AL22" s="50" t="s">
        <v>455</v>
      </c>
      <c r="AM22" s="50">
        <v>52519</v>
      </c>
      <c r="AN22" s="50" t="s">
        <v>96</v>
      </c>
      <c r="AO22" s="49">
        <v>100000019653855</v>
      </c>
      <c r="AP22" s="50" t="s">
        <v>486</v>
      </c>
      <c r="AQ22" s="36"/>
      <c r="AR22" s="36"/>
      <c r="AS22" s="36"/>
      <c r="AT22" s="36"/>
      <c r="AU22" s="36"/>
      <c r="AV22" s="36"/>
      <c r="AW22" s="36"/>
      <c r="AX22" s="36"/>
      <c r="AY22" s="36"/>
      <c r="AZ22" s="36"/>
      <c r="BA22" s="36"/>
      <c r="BC22" s="50" t="s">
        <v>97</v>
      </c>
      <c r="BF22" s="50">
        <v>52519</v>
      </c>
      <c r="BG22" s="51" t="s">
        <v>456</v>
      </c>
      <c r="BH22" s="51" t="s">
        <v>456</v>
      </c>
      <c r="BJ22" s="58" t="s">
        <v>98</v>
      </c>
      <c r="BZ22" s="50" t="s">
        <v>99</v>
      </c>
      <c r="GH22" s="55"/>
      <c r="KD22" s="15"/>
      <c r="KE22" s="51"/>
      <c r="KH22" s="15"/>
      <c r="KI22" s="15"/>
      <c r="KM22" s="56"/>
      <c r="KN22" s="56"/>
      <c r="KO22" s="56"/>
      <c r="KP22" s="56"/>
      <c r="KQ22" s="56"/>
      <c r="KR22" s="56"/>
      <c r="KS22" s="56"/>
      <c r="KT22" s="56"/>
      <c r="KU22" s="56"/>
      <c r="KV22" s="56"/>
      <c r="KW22" s="56"/>
    </row>
    <row r="23" spans="2:309">
      <c r="B23" s="49" t="s">
        <v>430</v>
      </c>
      <c r="C23" s="50" t="s">
        <v>453</v>
      </c>
      <c r="D23" s="50" t="s">
        <v>91</v>
      </c>
      <c r="E23" s="50" t="s">
        <v>454</v>
      </c>
      <c r="F23" s="51">
        <v>41715</v>
      </c>
      <c r="G23" s="51">
        <v>41715</v>
      </c>
      <c r="I23" s="52">
        <v>1005</v>
      </c>
      <c r="J23" s="52">
        <v>1033</v>
      </c>
      <c r="O23" s="52">
        <v>1005</v>
      </c>
      <c r="P23" s="52">
        <v>1033</v>
      </c>
      <c r="AA23" s="50" t="s">
        <v>92</v>
      </c>
      <c r="AB23" s="50" t="s">
        <v>481</v>
      </c>
      <c r="AC23" s="50" t="s">
        <v>94</v>
      </c>
      <c r="AD23" s="50" t="s">
        <v>95</v>
      </c>
      <c r="AE23" s="51">
        <v>41715</v>
      </c>
      <c r="AF23" s="53">
        <v>1</v>
      </c>
      <c r="AG23" s="53">
        <v>56</v>
      </c>
      <c r="AH23" s="53">
        <v>1</v>
      </c>
      <c r="AJ23" s="53">
        <v>56</v>
      </c>
      <c r="AL23" s="50" t="s">
        <v>455</v>
      </c>
      <c r="AM23" s="50">
        <v>52519</v>
      </c>
      <c r="AN23" s="50" t="s">
        <v>96</v>
      </c>
      <c r="AO23" s="49">
        <v>100000019653855</v>
      </c>
      <c r="AP23" s="50" t="s">
        <v>487</v>
      </c>
      <c r="AQ23" s="36"/>
      <c r="AR23" s="36"/>
      <c r="AS23" s="36"/>
      <c r="AT23" s="36"/>
      <c r="AU23" s="36"/>
      <c r="AV23" s="36"/>
      <c r="AW23" s="36"/>
      <c r="AX23" s="36"/>
      <c r="AY23" s="36"/>
      <c r="AZ23" s="36"/>
      <c r="BA23" s="36"/>
      <c r="BC23" s="50" t="s">
        <v>97</v>
      </c>
      <c r="BF23" s="50">
        <v>52519</v>
      </c>
      <c r="BG23" s="51" t="s">
        <v>456</v>
      </c>
      <c r="BH23" s="51" t="s">
        <v>456</v>
      </c>
      <c r="BJ23" s="58" t="s">
        <v>98</v>
      </c>
      <c r="BZ23" s="50" t="s">
        <v>99</v>
      </c>
      <c r="GH23" s="55"/>
      <c r="KD23" s="15"/>
      <c r="KE23" s="51"/>
      <c r="KH23" s="15"/>
      <c r="KI23" s="15"/>
      <c r="KM23" s="56"/>
      <c r="KN23" s="56"/>
      <c r="KO23" s="56"/>
      <c r="KP23" s="56"/>
      <c r="KQ23" s="56"/>
      <c r="KR23" s="56"/>
      <c r="KS23" s="56"/>
      <c r="KT23" s="56"/>
      <c r="KU23" s="56"/>
      <c r="KV23" s="56"/>
      <c r="KW23" s="56"/>
    </row>
    <row r="24" spans="2:309">
      <c r="B24" s="49" t="s">
        <v>430</v>
      </c>
      <c r="C24" s="50" t="s">
        <v>453</v>
      </c>
      <c r="D24" s="50" t="s">
        <v>91</v>
      </c>
      <c r="E24" s="50" t="s">
        <v>454</v>
      </c>
      <c r="F24" s="51">
        <v>41715</v>
      </c>
      <c r="G24" s="51">
        <v>41715</v>
      </c>
      <c r="I24" s="52">
        <v>1005</v>
      </c>
      <c r="J24" s="52">
        <v>1033</v>
      </c>
      <c r="O24" s="52">
        <v>1005</v>
      </c>
      <c r="P24" s="52">
        <v>1033</v>
      </c>
      <c r="AA24" s="50" t="s">
        <v>92</v>
      </c>
      <c r="AB24" s="50" t="s">
        <v>481</v>
      </c>
      <c r="AC24" s="50" t="s">
        <v>94</v>
      </c>
      <c r="AD24" s="50" t="s">
        <v>95</v>
      </c>
      <c r="AE24" s="51">
        <v>41715</v>
      </c>
      <c r="AF24" s="53">
        <v>1</v>
      </c>
      <c r="AG24" s="53">
        <v>30</v>
      </c>
      <c r="AH24" s="53">
        <v>1</v>
      </c>
      <c r="AJ24" s="53">
        <v>30</v>
      </c>
      <c r="AL24" s="50" t="s">
        <v>455</v>
      </c>
      <c r="AM24" s="50">
        <v>52519</v>
      </c>
      <c r="AN24" s="50" t="s">
        <v>96</v>
      </c>
      <c r="AO24" s="49">
        <v>100000019653855</v>
      </c>
      <c r="AP24" s="50" t="s">
        <v>488</v>
      </c>
      <c r="AQ24" s="36"/>
      <c r="AR24" s="36"/>
      <c r="AS24" s="36"/>
      <c r="AT24" s="36"/>
      <c r="AU24" s="36"/>
      <c r="AV24" s="36"/>
      <c r="AW24" s="36"/>
      <c r="AX24" s="36"/>
      <c r="AY24" s="36"/>
      <c r="AZ24" s="36"/>
      <c r="BA24" s="36"/>
      <c r="BC24" s="50" t="s">
        <v>97</v>
      </c>
      <c r="BF24" s="50">
        <v>52519</v>
      </c>
      <c r="BG24" s="51" t="s">
        <v>456</v>
      </c>
      <c r="BH24" s="51" t="s">
        <v>456</v>
      </c>
      <c r="BJ24" s="58" t="s">
        <v>98</v>
      </c>
      <c r="BZ24" s="50" t="s">
        <v>99</v>
      </c>
      <c r="GH24" s="55"/>
      <c r="KD24" s="15"/>
      <c r="KE24" s="51"/>
      <c r="KH24" s="15"/>
      <c r="KI24" s="15"/>
      <c r="KM24" s="56"/>
      <c r="KN24" s="56"/>
      <c r="KO24" s="56"/>
      <c r="KP24" s="56"/>
      <c r="KQ24" s="56"/>
      <c r="KR24" s="56"/>
      <c r="KS24" s="56"/>
      <c r="KT24" s="56"/>
      <c r="KU24" s="56"/>
      <c r="KV24" s="56"/>
      <c r="KW24" s="56"/>
    </row>
    <row r="25" spans="2:309">
      <c r="B25" s="49" t="s">
        <v>430</v>
      </c>
      <c r="C25" s="50" t="s">
        <v>453</v>
      </c>
      <c r="D25" s="50" t="s">
        <v>91</v>
      </c>
      <c r="E25" s="50" t="s">
        <v>454</v>
      </c>
      <c r="F25" s="51">
        <v>41715</v>
      </c>
      <c r="G25" s="51">
        <v>41715</v>
      </c>
      <c r="I25" s="52">
        <v>1005</v>
      </c>
      <c r="J25" s="52">
        <v>1033</v>
      </c>
      <c r="O25" s="52">
        <v>1005</v>
      </c>
      <c r="P25" s="52">
        <v>1033</v>
      </c>
      <c r="AA25" s="50" t="s">
        <v>92</v>
      </c>
      <c r="AB25" s="50" t="s">
        <v>481</v>
      </c>
      <c r="AC25" s="50" t="s">
        <v>94</v>
      </c>
      <c r="AD25" s="50" t="s">
        <v>95</v>
      </c>
      <c r="AE25" s="51">
        <v>41715</v>
      </c>
      <c r="AF25" s="53">
        <v>1</v>
      </c>
      <c r="AG25" s="53">
        <v>15</v>
      </c>
      <c r="AH25" s="53">
        <v>1</v>
      </c>
      <c r="AJ25" s="53">
        <v>15</v>
      </c>
      <c r="AL25" s="50" t="s">
        <v>455</v>
      </c>
      <c r="AM25" s="50">
        <v>52519</v>
      </c>
      <c r="AN25" s="50" t="s">
        <v>96</v>
      </c>
      <c r="AO25" s="49">
        <v>100000019653855</v>
      </c>
      <c r="AP25" s="50" t="s">
        <v>489</v>
      </c>
      <c r="AQ25" s="36"/>
      <c r="AR25" s="36"/>
      <c r="AS25" s="36"/>
      <c r="AT25" s="36"/>
      <c r="AU25" s="36"/>
      <c r="AV25" s="36"/>
      <c r="AW25" s="36"/>
      <c r="AX25" s="36"/>
      <c r="AY25" s="36"/>
      <c r="AZ25" s="36"/>
      <c r="BA25" s="36"/>
      <c r="BC25" s="50" t="s">
        <v>97</v>
      </c>
      <c r="BF25" s="50">
        <v>52519</v>
      </c>
      <c r="BG25" s="51" t="s">
        <v>456</v>
      </c>
      <c r="BH25" s="51" t="s">
        <v>456</v>
      </c>
      <c r="BJ25" s="58" t="s">
        <v>98</v>
      </c>
      <c r="BZ25" s="50" t="s">
        <v>99</v>
      </c>
      <c r="GH25" s="55"/>
      <c r="KD25" s="15"/>
      <c r="KE25" s="51"/>
      <c r="KH25" s="15"/>
      <c r="KI25" s="15"/>
      <c r="KM25" s="56"/>
      <c r="KN25" s="56"/>
      <c r="KO25" s="56"/>
      <c r="KP25" s="56"/>
      <c r="KQ25" s="56"/>
      <c r="KR25" s="56"/>
      <c r="KS25" s="56"/>
      <c r="KT25" s="56"/>
      <c r="KU25" s="56"/>
      <c r="KV25" s="56"/>
      <c r="KW25" s="56"/>
    </row>
    <row r="26" spans="2:309">
      <c r="B26" s="49" t="s">
        <v>430</v>
      </c>
      <c r="C26" s="50" t="s">
        <v>453</v>
      </c>
      <c r="D26" s="50" t="s">
        <v>91</v>
      </c>
      <c r="E26" s="50" t="s">
        <v>454</v>
      </c>
      <c r="F26" s="51">
        <v>41715</v>
      </c>
      <c r="G26" s="51">
        <v>41715</v>
      </c>
      <c r="I26" s="52">
        <v>1005</v>
      </c>
      <c r="J26" s="52">
        <v>1033</v>
      </c>
      <c r="O26" s="52">
        <v>1005</v>
      </c>
      <c r="P26" s="52">
        <v>1033</v>
      </c>
      <c r="AA26" s="50" t="s">
        <v>92</v>
      </c>
      <c r="AB26" s="50" t="s">
        <v>481</v>
      </c>
      <c r="AC26" s="50" t="s">
        <v>94</v>
      </c>
      <c r="AD26" s="50" t="s">
        <v>95</v>
      </c>
      <c r="AE26" s="51">
        <v>41715</v>
      </c>
      <c r="AF26" s="53">
        <v>1</v>
      </c>
      <c r="AG26" s="53">
        <v>7.5</v>
      </c>
      <c r="AH26" s="53">
        <v>1</v>
      </c>
      <c r="AJ26" s="53">
        <v>7.5</v>
      </c>
      <c r="AL26" s="50" t="s">
        <v>455</v>
      </c>
      <c r="AM26" s="50">
        <v>52519</v>
      </c>
      <c r="AN26" s="50" t="s">
        <v>96</v>
      </c>
      <c r="AO26" s="49">
        <v>100000019653855</v>
      </c>
      <c r="AP26" s="50" t="s">
        <v>490</v>
      </c>
      <c r="AQ26" s="36"/>
      <c r="AR26" s="36"/>
      <c r="AS26" s="36"/>
      <c r="AT26" s="36"/>
      <c r="AU26" s="36"/>
      <c r="AV26" s="36"/>
      <c r="AW26" s="36"/>
      <c r="AX26" s="36"/>
      <c r="AY26" s="36"/>
      <c r="AZ26" s="36"/>
      <c r="BA26" s="36"/>
      <c r="BC26" s="50" t="s">
        <v>97</v>
      </c>
      <c r="BF26" s="50">
        <v>52519</v>
      </c>
      <c r="BG26" s="51" t="s">
        <v>456</v>
      </c>
      <c r="BH26" s="51" t="s">
        <v>456</v>
      </c>
      <c r="BJ26" s="58" t="s">
        <v>98</v>
      </c>
      <c r="BZ26" s="50" t="s">
        <v>99</v>
      </c>
      <c r="GH26" s="55"/>
      <c r="KD26" s="15"/>
      <c r="KE26" s="51"/>
      <c r="KH26" s="15"/>
      <c r="KI26" s="15"/>
      <c r="KM26" s="56"/>
      <c r="KN26" s="56"/>
      <c r="KO26" s="56"/>
      <c r="KP26" s="56"/>
      <c r="KQ26" s="56"/>
      <c r="KR26" s="56"/>
      <c r="KS26" s="56"/>
      <c r="KT26" s="56"/>
      <c r="KU26" s="56"/>
      <c r="KV26" s="56"/>
      <c r="KW26" s="56"/>
    </row>
    <row r="27" spans="2:309">
      <c r="B27" s="49" t="s">
        <v>430</v>
      </c>
      <c r="C27" s="50" t="s">
        <v>453</v>
      </c>
      <c r="D27" s="50" t="s">
        <v>91</v>
      </c>
      <c r="E27" s="50" t="s">
        <v>454</v>
      </c>
      <c r="F27" s="51">
        <v>41715</v>
      </c>
      <c r="G27" s="51">
        <v>41715</v>
      </c>
      <c r="I27" s="52">
        <v>1005</v>
      </c>
      <c r="J27" s="52">
        <v>1033</v>
      </c>
      <c r="O27" s="52">
        <v>1005</v>
      </c>
      <c r="P27" s="52">
        <v>1033</v>
      </c>
      <c r="AA27" s="50" t="s">
        <v>92</v>
      </c>
      <c r="AB27" s="50" t="s">
        <v>481</v>
      </c>
      <c r="AC27" s="50" t="s">
        <v>94</v>
      </c>
      <c r="AD27" s="50" t="s">
        <v>95</v>
      </c>
      <c r="AE27" s="51">
        <v>41715</v>
      </c>
      <c r="AF27" s="53">
        <v>1</v>
      </c>
      <c r="AG27" s="53">
        <v>5</v>
      </c>
      <c r="AH27" s="53">
        <v>1</v>
      </c>
      <c r="AJ27" s="53">
        <v>5</v>
      </c>
      <c r="AL27" s="50" t="s">
        <v>455</v>
      </c>
      <c r="AM27" s="50">
        <v>52519</v>
      </c>
      <c r="AN27" s="50" t="s">
        <v>96</v>
      </c>
      <c r="AO27" s="49">
        <v>100000019653855</v>
      </c>
      <c r="AP27" s="50" t="s">
        <v>491</v>
      </c>
      <c r="AQ27" s="36"/>
      <c r="AR27" s="36"/>
      <c r="AS27" s="36"/>
      <c r="AT27" s="36"/>
      <c r="AU27" s="36"/>
      <c r="AV27" s="36"/>
      <c r="AW27" s="36"/>
      <c r="AX27" s="36"/>
      <c r="AY27" s="36"/>
      <c r="AZ27" s="36"/>
      <c r="BA27" s="36"/>
      <c r="BC27" s="50" t="s">
        <v>97</v>
      </c>
      <c r="BF27" s="50">
        <v>52519</v>
      </c>
      <c r="BG27" s="51" t="s">
        <v>456</v>
      </c>
      <c r="BH27" s="51" t="s">
        <v>456</v>
      </c>
      <c r="BJ27" s="58" t="s">
        <v>98</v>
      </c>
      <c r="BZ27" s="50" t="s">
        <v>99</v>
      </c>
      <c r="GH27" s="55"/>
      <c r="KD27" s="15"/>
      <c r="KE27" s="51"/>
      <c r="KH27" s="15"/>
      <c r="KI27" s="15"/>
      <c r="KM27" s="56"/>
      <c r="KN27" s="56"/>
      <c r="KO27" s="56"/>
      <c r="KP27" s="56"/>
      <c r="KQ27" s="56"/>
      <c r="KR27" s="56"/>
      <c r="KS27" s="56"/>
      <c r="KT27" s="56"/>
      <c r="KU27" s="56"/>
      <c r="KV27" s="56"/>
      <c r="KW27" s="56"/>
    </row>
    <row r="28" spans="2:309">
      <c r="B28" s="49" t="s">
        <v>430</v>
      </c>
      <c r="C28" s="50" t="s">
        <v>453</v>
      </c>
      <c r="D28" s="50" t="s">
        <v>91</v>
      </c>
      <c r="E28" s="50" t="s">
        <v>454</v>
      </c>
      <c r="F28" s="51">
        <v>41715</v>
      </c>
      <c r="G28" s="51">
        <v>41715</v>
      </c>
      <c r="I28" s="52">
        <v>1005</v>
      </c>
      <c r="J28" s="52">
        <v>1033</v>
      </c>
      <c r="O28" s="52">
        <v>1005</v>
      </c>
      <c r="P28" s="52">
        <v>1033</v>
      </c>
      <c r="AA28" s="50" t="s">
        <v>92</v>
      </c>
      <c r="AB28" s="50" t="s">
        <v>481</v>
      </c>
      <c r="AC28" s="50" t="s">
        <v>94</v>
      </c>
      <c r="AD28" s="50" t="s">
        <v>95</v>
      </c>
      <c r="AE28" s="51">
        <v>41715</v>
      </c>
      <c r="AF28" s="53">
        <v>1</v>
      </c>
      <c r="AG28" s="53">
        <v>10</v>
      </c>
      <c r="AH28" s="53">
        <v>1</v>
      </c>
      <c r="AJ28" s="53">
        <v>10</v>
      </c>
      <c r="AL28" s="50" t="s">
        <v>455</v>
      </c>
      <c r="AM28" s="50">
        <v>52519</v>
      </c>
      <c r="AN28" s="50" t="s">
        <v>96</v>
      </c>
      <c r="AO28" s="49">
        <v>100000019653855</v>
      </c>
      <c r="AP28" s="50" t="s">
        <v>492</v>
      </c>
      <c r="AQ28" s="36"/>
      <c r="AR28" s="36"/>
      <c r="AS28" s="36"/>
      <c r="AT28" s="36"/>
      <c r="AU28" s="36"/>
      <c r="AV28" s="36"/>
      <c r="AW28" s="36"/>
      <c r="AX28" s="36"/>
      <c r="AY28" s="36"/>
      <c r="AZ28" s="36"/>
      <c r="BA28" s="36"/>
      <c r="BC28" s="50" t="s">
        <v>97</v>
      </c>
      <c r="BF28" s="50">
        <v>52519</v>
      </c>
      <c r="BG28" s="51" t="s">
        <v>456</v>
      </c>
      <c r="BH28" s="51" t="s">
        <v>456</v>
      </c>
      <c r="BJ28" s="58" t="s">
        <v>98</v>
      </c>
      <c r="BZ28" s="50" t="s">
        <v>99</v>
      </c>
      <c r="GH28" s="55"/>
      <c r="KD28" s="15"/>
      <c r="KE28" s="51"/>
      <c r="KH28" s="15"/>
      <c r="KI28" s="15"/>
      <c r="KM28" s="56"/>
      <c r="KN28" s="56"/>
      <c r="KO28" s="56"/>
      <c r="KP28" s="56"/>
      <c r="KQ28" s="56"/>
      <c r="KR28" s="56"/>
      <c r="KS28" s="56"/>
      <c r="KT28" s="56"/>
      <c r="KU28" s="56"/>
      <c r="KV28" s="56"/>
      <c r="KW28" s="56"/>
    </row>
    <row r="29" spans="2:309">
      <c r="B29" s="49" t="s">
        <v>430</v>
      </c>
      <c r="C29" s="50" t="s">
        <v>453</v>
      </c>
      <c r="D29" s="50" t="s">
        <v>91</v>
      </c>
      <c r="E29" s="50" t="s">
        <v>454</v>
      </c>
      <c r="F29" s="51">
        <v>41715</v>
      </c>
      <c r="G29" s="51">
        <v>41715</v>
      </c>
      <c r="I29" s="52">
        <v>1005</v>
      </c>
      <c r="J29" s="52">
        <v>1033</v>
      </c>
      <c r="O29" s="52">
        <v>1005</v>
      </c>
      <c r="P29" s="52">
        <v>1033</v>
      </c>
      <c r="AA29" s="50" t="s">
        <v>92</v>
      </c>
      <c r="AB29" s="50" t="s">
        <v>481</v>
      </c>
      <c r="AC29" s="50" t="s">
        <v>94</v>
      </c>
      <c r="AD29" s="50" t="s">
        <v>95</v>
      </c>
      <c r="AE29" s="51">
        <v>41715</v>
      </c>
      <c r="AF29" s="53">
        <v>1</v>
      </c>
      <c r="AG29" s="53">
        <v>11</v>
      </c>
      <c r="AH29" s="53">
        <v>1</v>
      </c>
      <c r="AJ29" s="53">
        <v>11</v>
      </c>
      <c r="AL29" s="50" t="s">
        <v>455</v>
      </c>
      <c r="AM29" s="50">
        <v>52519</v>
      </c>
      <c r="AN29" s="50" t="s">
        <v>96</v>
      </c>
      <c r="AO29" s="49">
        <v>100000019653855</v>
      </c>
      <c r="AP29" s="50" t="s">
        <v>493</v>
      </c>
      <c r="AQ29" s="36"/>
      <c r="AR29" s="36"/>
      <c r="AS29" s="36"/>
      <c r="AT29" s="36"/>
      <c r="AU29" s="36"/>
      <c r="AV29" s="36"/>
      <c r="AW29" s="36"/>
      <c r="AX29" s="36"/>
      <c r="AY29" s="36"/>
      <c r="AZ29" s="36"/>
      <c r="BA29" s="36"/>
      <c r="BC29" s="50" t="s">
        <v>97</v>
      </c>
      <c r="BF29" s="50">
        <v>52519</v>
      </c>
      <c r="BG29" s="51" t="s">
        <v>456</v>
      </c>
      <c r="BH29" s="51" t="s">
        <v>456</v>
      </c>
      <c r="BJ29" s="58" t="s">
        <v>98</v>
      </c>
      <c r="BZ29" s="50" t="s">
        <v>99</v>
      </c>
      <c r="GH29" s="55"/>
      <c r="KD29" s="15"/>
      <c r="KE29" s="51"/>
      <c r="KH29" s="15"/>
      <c r="KI29" s="15"/>
      <c r="KM29" s="56"/>
      <c r="KN29" s="56"/>
      <c r="KO29" s="56"/>
      <c r="KP29" s="56"/>
      <c r="KQ29" s="56"/>
      <c r="KR29" s="56"/>
      <c r="KS29" s="56"/>
      <c r="KT29" s="56"/>
      <c r="KU29" s="56"/>
      <c r="KV29" s="56"/>
      <c r="KW29" s="56"/>
    </row>
    <row r="30" spans="2:309">
      <c r="B30" s="49" t="s">
        <v>430</v>
      </c>
      <c r="C30" s="50" t="s">
        <v>453</v>
      </c>
      <c r="D30" s="50" t="s">
        <v>91</v>
      </c>
      <c r="E30" s="50" t="s">
        <v>454</v>
      </c>
      <c r="F30" s="51">
        <v>41715</v>
      </c>
      <c r="G30" s="51">
        <v>41715</v>
      </c>
      <c r="I30" s="52">
        <v>1005</v>
      </c>
      <c r="J30" s="52">
        <v>1033</v>
      </c>
      <c r="O30" s="52">
        <v>1005</v>
      </c>
      <c r="P30" s="52">
        <v>1033</v>
      </c>
      <c r="AA30" s="50" t="s">
        <v>92</v>
      </c>
      <c r="AB30" s="50" t="s">
        <v>481</v>
      </c>
      <c r="AC30" s="50" t="s">
        <v>94</v>
      </c>
      <c r="AD30" s="50" t="s">
        <v>95</v>
      </c>
      <c r="AE30" s="51">
        <v>41715</v>
      </c>
      <c r="AF30" s="53">
        <v>1</v>
      </c>
      <c r="AG30" s="53">
        <v>13</v>
      </c>
      <c r="AH30" s="53">
        <v>1</v>
      </c>
      <c r="AJ30" s="53">
        <v>13</v>
      </c>
      <c r="AL30" s="50" t="s">
        <v>455</v>
      </c>
      <c r="AM30" s="50">
        <v>52519</v>
      </c>
      <c r="AN30" s="50" t="s">
        <v>96</v>
      </c>
      <c r="AO30" s="49">
        <v>100000019653855</v>
      </c>
      <c r="AP30" s="50" t="s">
        <v>494</v>
      </c>
      <c r="AQ30" s="36"/>
      <c r="AR30" s="36"/>
      <c r="AS30" s="36"/>
      <c r="AT30" s="36"/>
      <c r="AU30" s="36"/>
      <c r="AV30" s="36"/>
      <c r="AW30" s="36"/>
      <c r="AX30" s="36"/>
      <c r="AY30" s="36"/>
      <c r="AZ30" s="36"/>
      <c r="BA30" s="36"/>
      <c r="BC30" s="50" t="s">
        <v>97</v>
      </c>
      <c r="BF30" s="50">
        <v>52519</v>
      </c>
      <c r="BG30" s="51" t="s">
        <v>456</v>
      </c>
      <c r="BH30" s="51" t="s">
        <v>456</v>
      </c>
      <c r="BJ30" s="58" t="s">
        <v>98</v>
      </c>
      <c r="BZ30" s="50" t="s">
        <v>99</v>
      </c>
      <c r="GH30" s="55"/>
      <c r="KD30" s="15"/>
      <c r="KE30" s="51"/>
      <c r="KH30" s="15"/>
      <c r="KI30" s="15"/>
      <c r="KM30" s="56"/>
      <c r="KN30" s="56"/>
      <c r="KO30" s="56"/>
      <c r="KP30" s="56"/>
      <c r="KQ30" s="56"/>
      <c r="KR30" s="56"/>
      <c r="KS30" s="56"/>
      <c r="KT30" s="56"/>
      <c r="KU30" s="56"/>
      <c r="KV30" s="56"/>
      <c r="KW30" s="56"/>
    </row>
    <row r="31" spans="2:309">
      <c r="B31" s="49" t="s">
        <v>430</v>
      </c>
      <c r="C31" s="50" t="s">
        <v>453</v>
      </c>
      <c r="D31" s="50" t="s">
        <v>91</v>
      </c>
      <c r="E31" s="50" t="s">
        <v>454</v>
      </c>
      <c r="F31" s="51">
        <v>41715</v>
      </c>
      <c r="G31" s="51">
        <v>41715</v>
      </c>
      <c r="I31" s="52">
        <v>1005</v>
      </c>
      <c r="J31" s="52">
        <v>1033</v>
      </c>
      <c r="O31" s="52">
        <v>1005</v>
      </c>
      <c r="P31" s="52">
        <v>1033</v>
      </c>
      <c r="AA31" s="50" t="s">
        <v>92</v>
      </c>
      <c r="AB31" s="50" t="s">
        <v>481</v>
      </c>
      <c r="AC31" s="50" t="s">
        <v>94</v>
      </c>
      <c r="AD31" s="50" t="s">
        <v>95</v>
      </c>
      <c r="AE31" s="51">
        <v>41715</v>
      </c>
      <c r="AF31" s="53">
        <v>1</v>
      </c>
      <c r="AG31" s="53">
        <v>15</v>
      </c>
      <c r="AH31" s="53">
        <v>1</v>
      </c>
      <c r="AJ31" s="53">
        <v>15</v>
      </c>
      <c r="AL31" s="50" t="s">
        <v>455</v>
      </c>
      <c r="AM31" s="50">
        <v>52519</v>
      </c>
      <c r="AN31" s="50" t="s">
        <v>96</v>
      </c>
      <c r="AO31" s="49">
        <v>100000019653855</v>
      </c>
      <c r="AP31" s="50" t="s">
        <v>495</v>
      </c>
      <c r="AQ31" s="36"/>
      <c r="AR31" s="36"/>
      <c r="AS31" s="36"/>
      <c r="AT31" s="36"/>
      <c r="AU31" s="36"/>
      <c r="AV31" s="36"/>
      <c r="AW31" s="36"/>
      <c r="AX31" s="36"/>
      <c r="AY31" s="36"/>
      <c r="AZ31" s="36"/>
      <c r="BA31" s="36"/>
      <c r="BC31" s="50" t="s">
        <v>97</v>
      </c>
      <c r="BF31" s="50">
        <v>52519</v>
      </c>
      <c r="BG31" s="51" t="s">
        <v>456</v>
      </c>
      <c r="BH31" s="51" t="s">
        <v>456</v>
      </c>
      <c r="BJ31" s="58" t="s">
        <v>98</v>
      </c>
      <c r="BZ31" s="50" t="s">
        <v>99</v>
      </c>
      <c r="GH31" s="55"/>
      <c r="KD31" s="15"/>
      <c r="KE31" s="51"/>
      <c r="KH31" s="15"/>
      <c r="KI31" s="15"/>
      <c r="KM31" s="56"/>
      <c r="KN31" s="56"/>
      <c r="KO31" s="56"/>
      <c r="KP31" s="56"/>
      <c r="KQ31" s="56"/>
      <c r="KR31" s="56"/>
      <c r="KS31" s="56"/>
      <c r="KT31" s="56"/>
      <c r="KU31" s="56"/>
      <c r="KV31" s="56"/>
      <c r="KW31" s="56"/>
    </row>
    <row r="32" spans="2:309">
      <c r="B32" s="49" t="s">
        <v>430</v>
      </c>
      <c r="C32" s="50" t="s">
        <v>453</v>
      </c>
      <c r="D32" s="50" t="s">
        <v>91</v>
      </c>
      <c r="E32" s="50" t="s">
        <v>454</v>
      </c>
      <c r="F32" s="51">
        <v>41715</v>
      </c>
      <c r="G32" s="51">
        <v>41715</v>
      </c>
      <c r="I32" s="52">
        <v>1005</v>
      </c>
      <c r="J32" s="52">
        <v>1033</v>
      </c>
      <c r="O32" s="52">
        <v>1005</v>
      </c>
      <c r="P32" s="52">
        <v>1033</v>
      </c>
      <c r="AA32" s="50" t="s">
        <v>92</v>
      </c>
      <c r="AB32" s="50" t="s">
        <v>481</v>
      </c>
      <c r="AC32" s="50" t="s">
        <v>94</v>
      </c>
      <c r="AD32" s="50" t="s">
        <v>95</v>
      </c>
      <c r="AE32" s="51">
        <v>41715</v>
      </c>
      <c r="AF32" s="53">
        <v>1</v>
      </c>
      <c r="AG32" s="53">
        <v>20</v>
      </c>
      <c r="AH32" s="53">
        <v>1</v>
      </c>
      <c r="AJ32" s="53">
        <v>20</v>
      </c>
      <c r="AL32" s="50" t="s">
        <v>455</v>
      </c>
      <c r="AM32" s="50">
        <v>52519</v>
      </c>
      <c r="AN32" s="50" t="s">
        <v>96</v>
      </c>
      <c r="AO32" s="49">
        <v>100000019653855</v>
      </c>
      <c r="AP32" s="50" t="s">
        <v>496</v>
      </c>
      <c r="AQ32" s="36"/>
      <c r="AR32" s="36"/>
      <c r="AS32" s="36"/>
      <c r="AT32" s="36"/>
      <c r="AU32" s="36"/>
      <c r="AV32" s="36"/>
      <c r="AW32" s="36"/>
      <c r="AX32" s="36"/>
      <c r="AY32" s="36"/>
      <c r="AZ32" s="36"/>
      <c r="BA32" s="36"/>
      <c r="BC32" s="50" t="s">
        <v>97</v>
      </c>
      <c r="BF32" s="50">
        <v>52519</v>
      </c>
      <c r="BG32" s="51" t="s">
        <v>456</v>
      </c>
      <c r="BH32" s="51" t="s">
        <v>456</v>
      </c>
      <c r="BJ32" s="58" t="s">
        <v>98</v>
      </c>
      <c r="BZ32" s="50" t="s">
        <v>99</v>
      </c>
      <c r="GH32" s="55"/>
      <c r="KD32" s="15"/>
      <c r="KE32" s="51"/>
      <c r="KH32" s="15"/>
      <c r="KI32" s="15"/>
      <c r="KM32" s="56"/>
      <c r="KN32" s="56"/>
      <c r="KO32" s="56"/>
      <c r="KP32" s="56"/>
      <c r="KQ32" s="56"/>
      <c r="KR32" s="56"/>
      <c r="KS32" s="56"/>
      <c r="KT32" s="56"/>
      <c r="KU32" s="56"/>
      <c r="KV32" s="56"/>
      <c r="KW32" s="56"/>
    </row>
    <row r="33" spans="2:309">
      <c r="B33" s="49" t="s">
        <v>430</v>
      </c>
      <c r="C33" s="50" t="s">
        <v>453</v>
      </c>
      <c r="D33" s="50" t="s">
        <v>91</v>
      </c>
      <c r="E33" s="50" t="s">
        <v>454</v>
      </c>
      <c r="F33" s="51">
        <v>41715</v>
      </c>
      <c r="G33" s="51">
        <v>41715</v>
      </c>
      <c r="I33" s="52">
        <v>1005</v>
      </c>
      <c r="J33" s="52">
        <v>1033</v>
      </c>
      <c r="O33" s="52">
        <v>1005</v>
      </c>
      <c r="P33" s="52">
        <v>1033</v>
      </c>
      <c r="AA33" s="50" t="s">
        <v>92</v>
      </c>
      <c r="AB33" s="50" t="s">
        <v>481</v>
      </c>
      <c r="AC33" s="50" t="s">
        <v>94</v>
      </c>
      <c r="AD33" s="50" t="s">
        <v>95</v>
      </c>
      <c r="AE33" s="51">
        <v>41715</v>
      </c>
      <c r="AF33" s="53">
        <v>1</v>
      </c>
      <c r="AG33" s="53">
        <v>35</v>
      </c>
      <c r="AH33" s="53">
        <v>1</v>
      </c>
      <c r="AJ33" s="39">
        <v>35</v>
      </c>
      <c r="AL33" s="50" t="s">
        <v>455</v>
      </c>
      <c r="AM33" s="50">
        <v>52519</v>
      </c>
      <c r="AN33" s="50" t="s">
        <v>96</v>
      </c>
      <c r="AO33" s="49">
        <v>100000019653855</v>
      </c>
      <c r="AP33" s="50" t="s">
        <v>497</v>
      </c>
      <c r="AQ33" s="36"/>
      <c r="AR33" s="36"/>
      <c r="AS33" s="36"/>
      <c r="AT33" s="36"/>
      <c r="AU33" s="36"/>
      <c r="AV33" s="36"/>
      <c r="AW33" s="36"/>
      <c r="AX33" s="36"/>
      <c r="AY33" s="36"/>
      <c r="AZ33" s="36"/>
      <c r="BA33" s="36"/>
      <c r="BC33" s="50" t="s">
        <v>97</v>
      </c>
      <c r="BF33" s="50">
        <v>52519</v>
      </c>
      <c r="BG33" s="51" t="s">
        <v>456</v>
      </c>
      <c r="BH33" s="51" t="s">
        <v>456</v>
      </c>
      <c r="BJ33" s="58" t="s">
        <v>98</v>
      </c>
      <c r="BZ33" s="50" t="s">
        <v>99</v>
      </c>
      <c r="GH33" s="55"/>
      <c r="KD33" s="15"/>
      <c r="KE33" s="51"/>
      <c r="KH33" s="15"/>
      <c r="KI33" s="15"/>
      <c r="KM33" s="56"/>
      <c r="KN33" s="56"/>
      <c r="KO33" s="56"/>
      <c r="KP33" s="56"/>
      <c r="KQ33" s="56"/>
      <c r="KR33" s="56"/>
      <c r="KS33" s="56"/>
      <c r="KT33" s="56"/>
      <c r="KU33" s="56"/>
      <c r="KV33" s="56"/>
      <c r="KW33" s="56"/>
    </row>
    <row r="34" spans="2:309">
      <c r="B34" s="49" t="s">
        <v>430</v>
      </c>
      <c r="C34" s="50" t="s">
        <v>453</v>
      </c>
      <c r="D34" s="50" t="s">
        <v>91</v>
      </c>
      <c r="E34" s="50" t="s">
        <v>454</v>
      </c>
      <c r="F34" s="51">
        <v>41715</v>
      </c>
      <c r="G34" s="51">
        <v>41715</v>
      </c>
      <c r="I34" s="52">
        <v>1005</v>
      </c>
      <c r="J34" s="52">
        <v>1033</v>
      </c>
      <c r="O34" s="52">
        <v>1005</v>
      </c>
      <c r="P34" s="52">
        <v>1033</v>
      </c>
      <c r="AA34" s="50" t="s">
        <v>92</v>
      </c>
      <c r="AB34" s="50" t="s">
        <v>481</v>
      </c>
      <c r="AC34" s="50" t="s">
        <v>94</v>
      </c>
      <c r="AD34" s="50" t="s">
        <v>95</v>
      </c>
      <c r="AE34" s="51">
        <v>41715</v>
      </c>
      <c r="AF34" s="53">
        <v>1</v>
      </c>
      <c r="AG34" s="53">
        <v>26</v>
      </c>
      <c r="AH34" s="53">
        <v>1</v>
      </c>
      <c r="AJ34" s="39">
        <v>26</v>
      </c>
      <c r="AL34" s="50" t="s">
        <v>455</v>
      </c>
      <c r="AM34" s="50">
        <v>52519</v>
      </c>
      <c r="AN34" s="50" t="s">
        <v>96</v>
      </c>
      <c r="AO34" s="49">
        <v>100000019653855</v>
      </c>
      <c r="AP34" s="50" t="s">
        <v>498</v>
      </c>
      <c r="AQ34" s="36"/>
      <c r="AR34" s="36"/>
      <c r="AS34" s="36"/>
      <c r="AT34" s="36"/>
      <c r="AU34" s="36"/>
      <c r="AV34" s="36"/>
      <c r="AW34" s="36"/>
      <c r="AX34" s="36"/>
      <c r="AY34" s="36"/>
      <c r="AZ34" s="36"/>
      <c r="BA34" s="36"/>
      <c r="BC34" s="50" t="s">
        <v>97</v>
      </c>
      <c r="BF34" s="50">
        <v>52519</v>
      </c>
      <c r="BG34" s="51" t="s">
        <v>456</v>
      </c>
      <c r="BH34" s="51" t="s">
        <v>456</v>
      </c>
      <c r="BJ34" s="58" t="s">
        <v>98</v>
      </c>
      <c r="BZ34" s="50" t="s">
        <v>99</v>
      </c>
      <c r="GH34" s="55"/>
      <c r="KD34" s="15"/>
      <c r="KE34" s="51"/>
      <c r="KH34" s="15"/>
      <c r="KI34" s="15"/>
      <c r="KM34" s="56"/>
      <c r="KN34" s="56"/>
      <c r="KO34" s="56"/>
      <c r="KP34" s="56"/>
      <c r="KQ34" s="56"/>
      <c r="KR34" s="56"/>
      <c r="KS34" s="56"/>
      <c r="KT34" s="56"/>
      <c r="KU34" s="56"/>
      <c r="KV34" s="56"/>
      <c r="KW34" s="56"/>
    </row>
    <row r="35" spans="2:309">
      <c r="B35" s="49" t="s">
        <v>430</v>
      </c>
      <c r="C35" s="36" t="s">
        <v>427</v>
      </c>
      <c r="D35" s="36" t="s">
        <v>91</v>
      </c>
      <c r="E35" s="36" t="s">
        <v>454</v>
      </c>
      <c r="F35" s="62"/>
      <c r="G35" s="62"/>
      <c r="H35" s="50" t="s">
        <v>499</v>
      </c>
      <c r="I35" s="38">
        <v>1005</v>
      </c>
      <c r="J35" s="38">
        <v>1033</v>
      </c>
      <c r="K35" s="38"/>
      <c r="L35" s="36"/>
      <c r="M35" s="36"/>
      <c r="N35" s="38"/>
      <c r="O35" s="38" t="s">
        <v>500</v>
      </c>
      <c r="P35" s="38" t="s">
        <v>501</v>
      </c>
      <c r="Q35" s="38"/>
      <c r="R35" s="38"/>
      <c r="S35" s="38"/>
      <c r="T35" s="38"/>
      <c r="U35" s="38"/>
      <c r="V35" s="38"/>
      <c r="W35" s="38"/>
      <c r="X35" s="38"/>
      <c r="Y35" s="38"/>
      <c r="Z35" s="38"/>
      <c r="AA35" s="36" t="s">
        <v>92</v>
      </c>
      <c r="AB35" s="36" t="s">
        <v>502</v>
      </c>
      <c r="AC35" s="36" t="s">
        <v>94</v>
      </c>
      <c r="AD35" s="36" t="s">
        <v>95</v>
      </c>
      <c r="AE35" s="51">
        <v>41715</v>
      </c>
      <c r="AF35" s="39">
        <v>1</v>
      </c>
      <c r="AG35" s="39">
        <v>100</v>
      </c>
      <c r="AH35" s="39">
        <v>1</v>
      </c>
      <c r="AI35" s="39"/>
      <c r="AJ35" s="39">
        <v>100</v>
      </c>
      <c r="AK35" s="39"/>
      <c r="AL35" s="36" t="s">
        <v>426</v>
      </c>
      <c r="AM35" s="50" t="s">
        <v>499</v>
      </c>
      <c r="AN35" s="36" t="s">
        <v>503</v>
      </c>
      <c r="AO35" s="36">
        <v>3</v>
      </c>
      <c r="AP35" s="36">
        <v>4</v>
      </c>
      <c r="AQ35" s="36">
        <v>5</v>
      </c>
      <c r="AR35" s="36">
        <v>6</v>
      </c>
      <c r="AS35" s="36">
        <v>7</v>
      </c>
      <c r="AT35" s="36">
        <v>8</v>
      </c>
      <c r="AU35" s="36">
        <v>9</v>
      </c>
      <c r="AV35" s="36">
        <v>10</v>
      </c>
      <c r="AW35" s="36">
        <v>11</v>
      </c>
      <c r="AX35" s="36">
        <v>12</v>
      </c>
      <c r="AY35" s="36">
        <v>13</v>
      </c>
      <c r="AZ35" s="36">
        <v>14</v>
      </c>
      <c r="BA35" s="36">
        <v>15</v>
      </c>
      <c r="BB35" s="36"/>
      <c r="BC35" s="36" t="s">
        <v>97</v>
      </c>
      <c r="BD35" s="63"/>
      <c r="BE35" s="39"/>
      <c r="BF35" s="36"/>
      <c r="BG35" s="62"/>
      <c r="BH35" s="62"/>
      <c r="BI35" s="64"/>
      <c r="BJ35" s="64" t="s">
        <v>98</v>
      </c>
      <c r="BK35" s="64"/>
      <c r="BL35" s="64"/>
      <c r="BM35" s="64"/>
      <c r="BN35" s="62"/>
      <c r="BO35" s="62"/>
      <c r="BP35" s="62"/>
      <c r="BQ35" s="34"/>
      <c r="BR35" s="36"/>
      <c r="BS35" s="36"/>
      <c r="BT35" s="36"/>
      <c r="BU35" s="36"/>
      <c r="BV35" s="36"/>
      <c r="BW35" s="39"/>
      <c r="BX35" s="36"/>
      <c r="BY35" s="36"/>
      <c r="BZ35" s="36"/>
      <c r="CA35" s="36"/>
      <c r="CB35" s="62"/>
      <c r="CC35" s="36"/>
      <c r="CD35" s="36"/>
      <c r="CE35" s="36"/>
      <c r="CF35" s="36"/>
      <c r="CG35" s="36"/>
      <c r="CH35" s="39"/>
      <c r="CI35" s="36"/>
      <c r="CJ35" s="36"/>
      <c r="CK35" s="36"/>
      <c r="CL35" s="36"/>
      <c r="CM35" s="36"/>
      <c r="CN35" s="36"/>
      <c r="CO35" s="34"/>
      <c r="CP35" s="36"/>
      <c r="CQ35" s="36"/>
      <c r="CR35" s="36"/>
      <c r="CS35" s="39"/>
      <c r="CT35" s="36"/>
      <c r="CU35" s="36"/>
      <c r="CV35" s="36"/>
      <c r="CW35" s="36"/>
      <c r="CX35" s="36"/>
      <c r="CY35" s="34"/>
      <c r="CZ35" s="36"/>
      <c r="DA35" s="36"/>
      <c r="DB35" s="62"/>
      <c r="DC35" s="36"/>
      <c r="DD35" s="36"/>
      <c r="DE35" s="34"/>
      <c r="DF35" s="36"/>
      <c r="DG35" s="36"/>
      <c r="DH35" s="36"/>
      <c r="DI35" s="36"/>
      <c r="DJ35" s="36"/>
      <c r="DK35" s="36"/>
      <c r="DL35" s="34"/>
      <c r="DM35" s="34"/>
      <c r="DN35" s="36"/>
      <c r="DO35" s="36"/>
      <c r="DP35" s="36"/>
      <c r="DQ35" s="36"/>
      <c r="DR35" s="36"/>
      <c r="DS35" s="36"/>
      <c r="DT35" s="36"/>
      <c r="DU35" s="36"/>
      <c r="DV35" s="36"/>
      <c r="DW35" s="36"/>
      <c r="DX35" s="36"/>
      <c r="DY35" s="36"/>
      <c r="DZ35" s="36"/>
      <c r="EA35" s="36"/>
      <c r="EB35" s="36"/>
      <c r="EC35" s="36"/>
      <c r="ED35" s="36"/>
      <c r="EE35" s="36"/>
      <c r="EF35" s="36"/>
      <c r="EG35" s="36"/>
      <c r="EH35" s="36"/>
      <c r="EI35" s="36"/>
      <c r="EJ35" s="36"/>
      <c r="EK35" s="36"/>
      <c r="EL35" s="36"/>
      <c r="EM35" s="36"/>
      <c r="EN35" s="36"/>
      <c r="EO35" s="36"/>
      <c r="EP35" s="36"/>
      <c r="EQ35" s="36"/>
      <c r="ER35" s="36"/>
      <c r="ES35" s="36"/>
      <c r="ET35" s="36"/>
      <c r="EU35" s="36"/>
      <c r="EV35" s="36"/>
      <c r="EW35" s="36"/>
      <c r="EX35" s="36"/>
      <c r="EY35" s="36"/>
      <c r="EZ35" s="36"/>
      <c r="FA35" s="36"/>
      <c r="FB35" s="36"/>
      <c r="FC35" s="36"/>
      <c r="FD35" s="36"/>
      <c r="FE35" s="36"/>
      <c r="FF35" s="36"/>
      <c r="FG35" s="36" t="s">
        <v>504</v>
      </c>
      <c r="FH35" s="36" t="s">
        <v>505</v>
      </c>
      <c r="FI35" s="36"/>
      <c r="FJ35" s="36"/>
      <c r="FK35" s="36" t="s">
        <v>506</v>
      </c>
      <c r="FL35" s="36"/>
      <c r="FM35" s="36"/>
      <c r="FN35" s="36"/>
      <c r="FO35" s="36"/>
      <c r="FP35" s="36"/>
      <c r="FQ35" s="36"/>
      <c r="FR35" s="36"/>
      <c r="FS35" s="36"/>
      <c r="FT35" s="36"/>
      <c r="FU35" s="36"/>
      <c r="FV35" s="36"/>
      <c r="FW35" s="36"/>
      <c r="FX35" s="36"/>
      <c r="FY35" s="36"/>
      <c r="FZ35" s="36"/>
      <c r="GA35" s="36"/>
      <c r="GB35" s="36"/>
      <c r="GC35" s="36"/>
      <c r="GD35" s="36"/>
      <c r="GE35" s="36"/>
      <c r="GF35" s="36"/>
      <c r="GG35" s="36"/>
      <c r="GH35" s="39"/>
      <c r="GI35" s="34"/>
      <c r="GJ35" s="62"/>
      <c r="GK35" s="36"/>
      <c r="GL35" s="36"/>
      <c r="GM35" s="36"/>
      <c r="GN35" s="36"/>
      <c r="GO35" s="36"/>
      <c r="GP35" s="62"/>
      <c r="GQ35" s="36"/>
      <c r="GR35" s="36"/>
      <c r="GS35" s="36"/>
      <c r="GT35" s="36"/>
      <c r="GU35" s="36"/>
      <c r="GV35" s="36"/>
      <c r="GW35" s="36"/>
      <c r="GX35" s="36"/>
      <c r="GY35" s="36"/>
      <c r="GZ35" s="36"/>
      <c r="HA35" s="36"/>
      <c r="HB35" s="36"/>
      <c r="HC35" s="36"/>
      <c r="HD35" s="36"/>
      <c r="HE35" s="36"/>
      <c r="HF35" s="36"/>
      <c r="HG35" s="36"/>
      <c r="HH35" s="36"/>
      <c r="HI35" s="36"/>
      <c r="HJ35" s="36"/>
      <c r="HK35" s="36"/>
      <c r="HL35" s="36"/>
      <c r="HM35" s="36"/>
      <c r="HN35" s="36"/>
      <c r="HO35" s="36"/>
      <c r="HP35" s="36"/>
      <c r="HQ35" s="36"/>
      <c r="HR35" s="36"/>
      <c r="HS35" s="36"/>
      <c r="HT35" s="36"/>
      <c r="HU35" s="36"/>
      <c r="HV35" s="36"/>
      <c r="HW35" s="36"/>
      <c r="HX35" s="36"/>
      <c r="HY35" s="36"/>
      <c r="HZ35" s="36"/>
      <c r="IA35" s="36"/>
      <c r="IB35" s="36"/>
      <c r="IC35" s="36"/>
      <c r="ID35" s="36"/>
      <c r="IE35" s="36"/>
      <c r="IF35" s="36"/>
      <c r="IG35" s="36"/>
      <c r="IH35" s="36"/>
      <c r="II35" s="36"/>
      <c r="IJ35" s="36"/>
      <c r="IK35" s="36"/>
      <c r="IL35" s="36"/>
      <c r="IM35" s="36"/>
      <c r="IN35" s="36"/>
      <c r="IO35" s="36"/>
      <c r="IP35" s="36"/>
      <c r="IQ35" s="36"/>
      <c r="IR35" s="36"/>
      <c r="IS35" s="36"/>
      <c r="IT35" s="36"/>
      <c r="IU35" s="36"/>
      <c r="IV35" s="36"/>
      <c r="IW35" s="36"/>
      <c r="IX35" s="36"/>
      <c r="IY35" s="36"/>
      <c r="IZ35" s="36"/>
      <c r="JA35" s="36"/>
      <c r="JB35" s="36"/>
      <c r="JC35" s="36"/>
      <c r="JD35" s="36"/>
      <c r="JE35" s="36"/>
      <c r="JF35" s="36"/>
      <c r="JG35" s="36"/>
      <c r="JH35" s="36"/>
      <c r="JI35" s="36"/>
      <c r="JJ35" s="36"/>
      <c r="JK35" s="36"/>
      <c r="JL35" s="36"/>
      <c r="JM35" s="36"/>
      <c r="JN35" s="36"/>
      <c r="JO35" s="36"/>
      <c r="JP35" s="36"/>
      <c r="JQ35" s="36"/>
      <c r="JR35" s="36"/>
      <c r="JS35" s="36"/>
      <c r="JT35" s="36"/>
      <c r="JU35" s="36"/>
      <c r="JV35" s="36"/>
      <c r="JW35" s="36"/>
      <c r="JX35" s="36"/>
      <c r="JY35" s="36"/>
      <c r="JZ35" s="36"/>
      <c r="KA35" s="36"/>
      <c r="KD35" s="15"/>
      <c r="KE35" s="51"/>
      <c r="KH35" s="15"/>
      <c r="KI35" s="15"/>
      <c r="KM35" s="56"/>
      <c r="KN35" s="56"/>
      <c r="KO35" s="56"/>
      <c r="KP35" s="56"/>
      <c r="KQ35" s="56"/>
      <c r="KR35" s="56"/>
      <c r="KS35" s="56"/>
      <c r="KT35" s="56"/>
      <c r="KU35" s="56"/>
      <c r="KV35" s="56"/>
      <c r="KW35" s="56"/>
    </row>
    <row r="36" spans="2:309">
      <c r="B36" s="49" t="s">
        <v>430</v>
      </c>
      <c r="C36" s="36" t="s">
        <v>427</v>
      </c>
      <c r="D36" s="36" t="s">
        <v>91</v>
      </c>
      <c r="E36" s="36" t="s">
        <v>454</v>
      </c>
      <c r="F36" s="62"/>
      <c r="G36" s="62"/>
      <c r="H36" s="50" t="s">
        <v>507</v>
      </c>
      <c r="I36" s="38">
        <v>1005</v>
      </c>
      <c r="J36" s="38">
        <v>1033</v>
      </c>
      <c r="K36" s="38"/>
      <c r="L36" s="36"/>
      <c r="M36" s="36"/>
      <c r="N36" s="38"/>
      <c r="O36" s="38">
        <v>1005</v>
      </c>
      <c r="P36" s="38">
        <v>1033</v>
      </c>
      <c r="Q36" s="38"/>
      <c r="R36" s="38"/>
      <c r="S36" s="38"/>
      <c r="T36" s="38"/>
      <c r="U36" s="38"/>
      <c r="V36" s="38"/>
      <c r="W36" s="38"/>
      <c r="X36" s="38"/>
      <c r="Y36" s="38"/>
      <c r="Z36" s="38"/>
      <c r="AA36" s="36" t="s">
        <v>92</v>
      </c>
      <c r="AB36" s="36" t="s">
        <v>508</v>
      </c>
      <c r="AC36" s="36" t="s">
        <v>94</v>
      </c>
      <c r="AD36" s="36" t="s">
        <v>95</v>
      </c>
      <c r="AE36" s="51">
        <v>41715</v>
      </c>
      <c r="AF36" s="39">
        <v>1</v>
      </c>
      <c r="AG36" s="39">
        <v>100</v>
      </c>
      <c r="AH36" s="39">
        <v>1</v>
      </c>
      <c r="AI36" s="39"/>
      <c r="AJ36" s="39">
        <v>100</v>
      </c>
      <c r="AK36" s="39"/>
      <c r="AL36" s="36" t="s">
        <v>426</v>
      </c>
      <c r="AM36" s="50" t="s">
        <v>507</v>
      </c>
      <c r="AN36" s="36" t="s">
        <v>503</v>
      </c>
      <c r="AO36" s="36">
        <v>3</v>
      </c>
      <c r="AP36" s="36">
        <v>4</v>
      </c>
      <c r="AQ36" s="36">
        <v>5</v>
      </c>
      <c r="AR36" s="36">
        <v>6</v>
      </c>
      <c r="AS36" s="36">
        <v>7</v>
      </c>
      <c r="AT36" s="36">
        <v>8</v>
      </c>
      <c r="AU36" s="36">
        <v>9</v>
      </c>
      <c r="AV36" s="36">
        <v>10</v>
      </c>
      <c r="AW36" s="36">
        <v>11</v>
      </c>
      <c r="AX36" s="36">
        <v>12</v>
      </c>
      <c r="AY36" s="36">
        <v>13</v>
      </c>
      <c r="AZ36" s="36">
        <v>14</v>
      </c>
      <c r="BA36" s="36">
        <v>15</v>
      </c>
      <c r="BB36" s="36"/>
      <c r="BC36" s="36" t="s">
        <v>97</v>
      </c>
      <c r="BD36" s="63"/>
      <c r="BE36" s="39"/>
      <c r="BF36" s="36"/>
      <c r="BG36" s="62"/>
      <c r="BH36" s="62"/>
      <c r="BI36" s="64"/>
      <c r="BJ36" s="64" t="s">
        <v>98</v>
      </c>
      <c r="BK36" s="64"/>
      <c r="BL36" s="64" t="s">
        <v>509</v>
      </c>
      <c r="BM36" s="64" t="s">
        <v>510</v>
      </c>
      <c r="BN36" s="62"/>
      <c r="BO36" s="62">
        <v>41722</v>
      </c>
      <c r="BP36" s="62">
        <v>41814</v>
      </c>
      <c r="BQ36" s="34"/>
      <c r="BR36" s="36"/>
      <c r="BS36" s="36"/>
      <c r="BT36" s="36"/>
      <c r="BU36" s="36"/>
      <c r="BV36" s="36"/>
      <c r="BW36" s="39"/>
      <c r="BX36" s="36"/>
      <c r="BY36" s="36"/>
      <c r="BZ36" s="36"/>
      <c r="CA36" s="36"/>
      <c r="CB36" s="62"/>
      <c r="CC36" s="36"/>
      <c r="CD36" s="36"/>
      <c r="CE36" s="36"/>
      <c r="CF36" s="36"/>
      <c r="CG36" s="36"/>
      <c r="CH36" s="39"/>
      <c r="CI36" s="36"/>
      <c r="CJ36" s="36"/>
      <c r="CK36" s="36"/>
      <c r="CL36" s="36"/>
      <c r="CM36" s="36"/>
      <c r="CN36" s="36"/>
      <c r="CO36" s="34"/>
      <c r="CP36" s="36"/>
      <c r="CQ36" s="36"/>
      <c r="CR36" s="36"/>
      <c r="CS36" s="39"/>
      <c r="CT36" s="36"/>
      <c r="CU36" s="36"/>
      <c r="CV36" s="36"/>
      <c r="CW36" s="36"/>
      <c r="CX36" s="36"/>
      <c r="CY36" s="34"/>
      <c r="CZ36" s="36"/>
      <c r="DA36" s="36"/>
      <c r="DB36" s="62"/>
      <c r="DC36" s="36"/>
      <c r="DD36" s="36"/>
      <c r="DE36" s="34"/>
      <c r="DF36" s="36"/>
      <c r="DG36" s="36"/>
      <c r="DH36" s="36"/>
      <c r="DI36" s="36"/>
      <c r="DJ36" s="36"/>
      <c r="DK36" s="36"/>
      <c r="DL36" s="34"/>
      <c r="DM36" s="34"/>
      <c r="DN36" s="36"/>
      <c r="DO36" s="36"/>
      <c r="DP36" s="36"/>
      <c r="DQ36" s="36"/>
      <c r="DR36" s="36"/>
      <c r="DS36" s="36"/>
      <c r="DT36" s="36"/>
      <c r="DU36" s="36"/>
      <c r="DV36" s="36"/>
      <c r="DW36" s="36"/>
      <c r="DX36" s="36"/>
      <c r="DY36" s="36"/>
      <c r="DZ36" s="36"/>
      <c r="EA36" s="36"/>
      <c r="EB36" s="36"/>
      <c r="EC36" s="36"/>
      <c r="ED36" s="36"/>
      <c r="EE36" s="36"/>
      <c r="EF36" s="36"/>
      <c r="EG36" s="36"/>
      <c r="EH36" s="36"/>
      <c r="EI36" s="36"/>
      <c r="EJ36" s="36"/>
      <c r="EK36" s="36"/>
      <c r="EL36" s="36"/>
      <c r="EM36" s="36"/>
      <c r="EN36" s="36"/>
      <c r="EO36" s="36"/>
      <c r="EP36" s="36"/>
      <c r="EQ36" s="36"/>
      <c r="ER36" s="36"/>
      <c r="ES36" s="36"/>
      <c r="ET36" s="36"/>
      <c r="EU36" s="36"/>
      <c r="EV36" s="36"/>
      <c r="EW36" s="36"/>
      <c r="EX36" s="36"/>
      <c r="EY36" s="36"/>
      <c r="EZ36" s="36"/>
      <c r="FA36" s="36"/>
      <c r="FB36" s="36"/>
      <c r="FC36" s="36"/>
      <c r="FD36" s="36"/>
      <c r="FE36" s="36"/>
      <c r="FF36" s="36"/>
      <c r="FG36" s="36"/>
      <c r="FH36" s="36"/>
      <c r="FI36" s="36"/>
      <c r="FJ36" s="36"/>
      <c r="FK36" s="36"/>
      <c r="FL36" s="36"/>
      <c r="FM36" s="36"/>
      <c r="FN36" s="36"/>
      <c r="FO36" s="36"/>
      <c r="FP36" s="36"/>
      <c r="FQ36" s="36"/>
      <c r="FR36" s="36"/>
      <c r="FS36" s="36"/>
      <c r="FT36" s="36"/>
      <c r="FU36" s="36"/>
      <c r="FV36" s="36"/>
      <c r="FW36" s="36"/>
      <c r="FX36" s="36"/>
      <c r="FY36" s="36"/>
      <c r="FZ36" s="36"/>
      <c r="GA36" s="36"/>
      <c r="GB36" s="36"/>
      <c r="GC36" s="36"/>
      <c r="GD36" s="36"/>
      <c r="GE36" s="36"/>
      <c r="GF36" s="36"/>
      <c r="GG36" s="36"/>
      <c r="GH36" s="39"/>
      <c r="GI36" s="34"/>
      <c r="GJ36" s="62"/>
      <c r="GK36" s="36"/>
      <c r="GL36" s="36"/>
      <c r="GM36" s="36"/>
      <c r="GN36" s="36"/>
      <c r="GO36" s="36"/>
      <c r="GP36" s="62"/>
      <c r="GQ36" s="36"/>
      <c r="GR36" s="36"/>
      <c r="GS36" s="36"/>
      <c r="GT36" s="36"/>
      <c r="GU36" s="36"/>
      <c r="GV36" s="36"/>
      <c r="GW36" s="36"/>
      <c r="GX36" s="36"/>
      <c r="GY36" s="36"/>
      <c r="GZ36" s="36"/>
      <c r="HA36" s="36"/>
      <c r="HB36" s="36"/>
      <c r="HC36" s="36"/>
      <c r="HD36" s="36"/>
      <c r="HE36" s="36"/>
      <c r="HF36" s="36"/>
      <c r="HG36" s="36"/>
      <c r="HH36" s="36"/>
      <c r="HI36" s="36"/>
      <c r="HJ36" s="36"/>
      <c r="HK36" s="36"/>
      <c r="HL36" s="36"/>
      <c r="HM36" s="36"/>
      <c r="HN36" s="36"/>
      <c r="HO36" s="36"/>
      <c r="HP36" s="36"/>
      <c r="HQ36" s="36"/>
      <c r="HR36" s="36"/>
      <c r="HS36" s="36"/>
      <c r="HT36" s="36"/>
      <c r="HU36" s="36"/>
      <c r="HV36" s="36"/>
      <c r="HW36" s="36"/>
      <c r="HX36" s="36"/>
      <c r="HY36" s="36"/>
      <c r="HZ36" s="36"/>
      <c r="IA36" s="36"/>
      <c r="IB36" s="36"/>
      <c r="IC36" s="36"/>
      <c r="ID36" s="36"/>
      <c r="IE36" s="36"/>
      <c r="IF36" s="36"/>
      <c r="IG36" s="36"/>
      <c r="IH36" s="36"/>
      <c r="II36" s="36"/>
      <c r="IJ36" s="36"/>
      <c r="IK36" s="36"/>
      <c r="IL36" s="36"/>
      <c r="IM36" s="36"/>
      <c r="IN36" s="36"/>
      <c r="IO36" s="36"/>
      <c r="IP36" s="36"/>
      <c r="IQ36" s="36"/>
      <c r="IR36" s="36"/>
      <c r="IS36" s="36"/>
      <c r="IT36" s="36"/>
      <c r="IU36" s="36"/>
      <c r="IV36" s="36"/>
      <c r="IW36" s="36"/>
      <c r="IX36" s="36"/>
      <c r="IY36" s="36"/>
      <c r="IZ36" s="36"/>
      <c r="JA36" s="36"/>
      <c r="JB36" s="36"/>
      <c r="JC36" s="36"/>
      <c r="JD36" s="36"/>
      <c r="JE36" s="36"/>
      <c r="JF36" s="36"/>
      <c r="JG36" s="36"/>
      <c r="JH36" s="36"/>
      <c r="JI36" s="36"/>
      <c r="JJ36" s="36"/>
      <c r="JK36" s="36"/>
      <c r="JL36" s="36"/>
      <c r="JM36" s="36"/>
      <c r="JN36" s="36"/>
      <c r="JO36" s="36"/>
      <c r="JP36" s="36"/>
      <c r="JQ36" s="36"/>
      <c r="JR36" s="36"/>
      <c r="JS36" s="36"/>
      <c r="JT36" s="36"/>
      <c r="JU36" s="36"/>
      <c r="JV36" s="36"/>
      <c r="JW36" s="36"/>
      <c r="JX36" s="36"/>
      <c r="JY36" s="36"/>
      <c r="JZ36" s="36"/>
      <c r="KA36" s="36"/>
      <c r="KD36" s="15"/>
      <c r="KE36" s="51"/>
      <c r="KH36" s="15"/>
      <c r="KI36" s="15"/>
      <c r="KM36" s="56"/>
      <c r="KN36" s="56"/>
      <c r="KO36" s="56"/>
      <c r="KP36" s="56"/>
      <c r="KQ36" s="56"/>
      <c r="KR36" s="56"/>
      <c r="KS36" s="56"/>
      <c r="KT36" s="56"/>
      <c r="KU36" s="56"/>
      <c r="KV36" s="56"/>
      <c r="KW36" s="56"/>
    </row>
    <row r="37" spans="2:309">
      <c r="B37" s="49" t="s">
        <v>430</v>
      </c>
      <c r="C37" s="36" t="s">
        <v>427</v>
      </c>
      <c r="D37" s="36" t="s">
        <v>91</v>
      </c>
      <c r="E37" s="36" t="s">
        <v>511</v>
      </c>
      <c r="F37" s="36"/>
      <c r="G37" s="36"/>
      <c r="H37" s="50" t="s">
        <v>512</v>
      </c>
      <c r="I37" s="38">
        <v>1005</v>
      </c>
      <c r="J37" s="38">
        <v>1033</v>
      </c>
      <c r="K37" s="36"/>
      <c r="L37" s="36"/>
      <c r="M37" s="36"/>
      <c r="N37" s="36"/>
      <c r="O37" s="38">
        <v>1005</v>
      </c>
      <c r="P37" s="38">
        <v>1033</v>
      </c>
      <c r="Q37" s="36"/>
      <c r="R37" s="36"/>
      <c r="S37" s="36"/>
      <c r="T37" s="36"/>
      <c r="U37" s="36"/>
      <c r="V37" s="36"/>
      <c r="W37" s="36"/>
      <c r="X37" s="36"/>
      <c r="Y37" s="36"/>
      <c r="Z37" s="36"/>
      <c r="AA37" s="36" t="s">
        <v>92</v>
      </c>
      <c r="AB37" s="36" t="s">
        <v>513</v>
      </c>
      <c r="AC37" s="36" t="s">
        <v>94</v>
      </c>
      <c r="AD37" s="36" t="s">
        <v>95</v>
      </c>
      <c r="AE37" s="51">
        <v>41715</v>
      </c>
      <c r="AF37" s="39">
        <v>1</v>
      </c>
      <c r="AG37" s="53">
        <v>1000</v>
      </c>
      <c r="AH37" s="39">
        <v>1</v>
      </c>
      <c r="AI37" s="36"/>
      <c r="AJ37" s="39">
        <v>1000</v>
      </c>
      <c r="AK37" s="36"/>
      <c r="AL37" s="36" t="s">
        <v>426</v>
      </c>
      <c r="AM37" s="50" t="s">
        <v>512</v>
      </c>
      <c r="AN37" s="36" t="s">
        <v>503</v>
      </c>
      <c r="AO37" s="36">
        <v>3</v>
      </c>
      <c r="AP37" s="36">
        <v>4</v>
      </c>
      <c r="AQ37" s="36">
        <v>5</v>
      </c>
      <c r="AR37" s="36">
        <v>6</v>
      </c>
      <c r="AS37" s="36">
        <v>7</v>
      </c>
      <c r="AT37" s="36">
        <v>8</v>
      </c>
      <c r="AU37" s="36">
        <v>9</v>
      </c>
      <c r="AV37" s="36">
        <v>10</v>
      </c>
      <c r="AW37" s="36">
        <v>11</v>
      </c>
      <c r="AX37" s="36">
        <v>12</v>
      </c>
      <c r="AY37" s="36">
        <v>13</v>
      </c>
      <c r="AZ37" s="36">
        <v>14</v>
      </c>
      <c r="BA37" s="36">
        <v>15</v>
      </c>
      <c r="BB37" s="36"/>
      <c r="BC37" s="36"/>
      <c r="BD37" s="36"/>
      <c r="BE37" s="36"/>
      <c r="BF37" s="36"/>
      <c r="BG37" s="36"/>
      <c r="BH37" s="36"/>
      <c r="BI37" s="64"/>
      <c r="BJ37" s="64"/>
      <c r="BK37" s="64"/>
      <c r="BL37" s="64"/>
      <c r="BM37" s="64"/>
      <c r="BN37" s="36"/>
      <c r="BO37" s="36"/>
      <c r="BP37" s="36"/>
      <c r="BQ37" s="36"/>
      <c r="BR37" s="36"/>
      <c r="BS37" s="36"/>
      <c r="BT37" s="36"/>
      <c r="BU37" s="36"/>
      <c r="BV37" s="36"/>
      <c r="BW37" s="36"/>
      <c r="BX37" s="36"/>
      <c r="BY37" s="36"/>
      <c r="BZ37" s="36"/>
      <c r="CA37" s="36"/>
      <c r="CB37" s="36"/>
      <c r="CC37" s="36"/>
      <c r="CD37" s="36"/>
      <c r="CE37" s="36"/>
      <c r="CF37" s="36"/>
      <c r="CG37" s="36"/>
      <c r="CH37" s="36"/>
      <c r="CI37" s="36"/>
      <c r="CJ37" s="36"/>
      <c r="CK37" s="36"/>
      <c r="CL37" s="36"/>
      <c r="CM37" s="36"/>
      <c r="CN37" s="36"/>
      <c r="CO37" s="36"/>
      <c r="CP37" s="36"/>
      <c r="CQ37" s="36"/>
      <c r="CR37" s="36"/>
      <c r="CS37" s="36"/>
      <c r="CT37" s="36"/>
      <c r="CU37" s="36"/>
      <c r="CV37" s="36"/>
      <c r="CW37" s="36"/>
      <c r="CX37" s="36"/>
      <c r="CY37" s="36"/>
      <c r="CZ37" s="36"/>
      <c r="DA37" s="36"/>
      <c r="DB37" s="36"/>
      <c r="DC37" s="36"/>
      <c r="DD37" s="36"/>
      <c r="DE37" s="36"/>
      <c r="DF37" s="36"/>
      <c r="DG37" s="36"/>
      <c r="DH37" s="36" t="s">
        <v>514</v>
      </c>
      <c r="DI37" s="36"/>
      <c r="DJ37" s="36"/>
      <c r="DK37" s="36"/>
      <c r="DL37" s="36"/>
      <c r="DM37" s="36"/>
      <c r="DN37" s="36"/>
      <c r="DO37" s="36"/>
      <c r="DP37" s="36"/>
      <c r="DQ37" s="36"/>
      <c r="DR37" s="36"/>
      <c r="DS37" s="36"/>
      <c r="DT37" s="36"/>
      <c r="DU37" s="36"/>
      <c r="DV37" s="36"/>
      <c r="DW37" s="36"/>
      <c r="DX37" s="36"/>
      <c r="DY37" s="36"/>
      <c r="DZ37" s="36"/>
      <c r="EA37" s="36"/>
      <c r="EB37" s="36"/>
      <c r="EC37" s="36"/>
      <c r="ED37" s="36"/>
      <c r="EE37" s="36"/>
      <c r="EF37" s="36"/>
      <c r="EG37" s="36"/>
      <c r="EH37" s="36"/>
      <c r="EI37" s="36"/>
      <c r="EJ37" s="36"/>
      <c r="EK37" s="36"/>
      <c r="EL37" s="36"/>
      <c r="EM37" s="36"/>
      <c r="EN37" s="36"/>
      <c r="EO37" s="36"/>
      <c r="EP37" s="36"/>
      <c r="EQ37" s="36"/>
      <c r="ER37" s="36"/>
      <c r="ES37" s="36"/>
      <c r="ET37" s="36"/>
      <c r="EU37" s="36"/>
      <c r="EV37" s="36"/>
      <c r="EW37" s="36"/>
      <c r="EX37" s="36"/>
      <c r="EY37" s="36"/>
      <c r="EZ37" s="36"/>
      <c r="FA37" s="36"/>
      <c r="FB37" s="36"/>
      <c r="FC37" s="36"/>
      <c r="FD37" s="36"/>
      <c r="FE37" s="36"/>
      <c r="FF37" s="36"/>
      <c r="FG37" s="36"/>
      <c r="FH37" s="36"/>
      <c r="FI37" s="36"/>
      <c r="FJ37" s="36"/>
      <c r="FK37" s="36"/>
      <c r="FL37" s="36"/>
      <c r="FM37" s="36"/>
      <c r="FN37" s="36"/>
      <c r="FO37" s="36"/>
      <c r="FP37" s="36"/>
      <c r="FQ37" s="36"/>
      <c r="FR37" s="36"/>
      <c r="FS37" s="36"/>
      <c r="FT37" s="36"/>
      <c r="FU37" s="36"/>
      <c r="FV37" s="36"/>
      <c r="FW37" s="36"/>
      <c r="FX37" s="36"/>
      <c r="FY37" s="36"/>
      <c r="FZ37" s="36"/>
      <c r="GA37" s="36"/>
      <c r="GB37" s="36"/>
      <c r="GC37" s="36"/>
      <c r="GD37" s="36"/>
      <c r="GE37" s="36"/>
      <c r="GF37" s="36"/>
      <c r="GG37" s="36"/>
      <c r="GH37" s="36"/>
      <c r="GI37" s="36"/>
      <c r="GJ37" s="36"/>
      <c r="GK37" s="36"/>
      <c r="GL37" s="36"/>
      <c r="GM37" s="36"/>
      <c r="GN37" s="36"/>
      <c r="GO37" s="36"/>
      <c r="GP37" s="36"/>
      <c r="GQ37" s="36"/>
      <c r="GR37" s="36"/>
      <c r="GS37" s="36"/>
      <c r="GT37" s="36"/>
      <c r="GU37" s="36"/>
      <c r="GV37" s="36"/>
      <c r="GW37" s="36"/>
      <c r="GX37" s="36"/>
      <c r="GY37" s="36"/>
      <c r="GZ37" s="36"/>
      <c r="HA37" s="36"/>
      <c r="HB37" s="36"/>
      <c r="HC37" s="36"/>
      <c r="HD37" s="36"/>
      <c r="HE37" s="36"/>
      <c r="HF37" s="36"/>
      <c r="HG37" s="36"/>
      <c r="HH37" s="36"/>
      <c r="HI37" s="36"/>
      <c r="HJ37" s="36"/>
      <c r="HK37" s="36"/>
      <c r="HL37" s="36"/>
      <c r="HM37" s="36"/>
      <c r="HN37" s="36"/>
      <c r="HO37" s="36"/>
      <c r="HP37" s="36"/>
      <c r="HQ37" s="36"/>
      <c r="HR37" s="36"/>
      <c r="HS37" s="36"/>
      <c r="HT37" s="36"/>
      <c r="HU37" s="36"/>
      <c r="HV37" s="36"/>
      <c r="HW37" s="36"/>
      <c r="HX37" s="36"/>
      <c r="HY37" s="36"/>
      <c r="HZ37" s="36"/>
      <c r="IA37" s="36"/>
      <c r="IB37" s="36"/>
      <c r="IC37" s="36"/>
      <c r="ID37" s="36"/>
      <c r="IE37" s="36"/>
      <c r="IF37" s="36"/>
      <c r="IG37" s="36"/>
      <c r="IH37" s="36"/>
      <c r="II37" s="36"/>
      <c r="IJ37" s="36"/>
      <c r="IK37" s="36"/>
      <c r="IL37" s="36"/>
      <c r="IM37" s="36"/>
      <c r="IN37" s="36"/>
      <c r="IO37" s="36"/>
      <c r="IP37" s="36"/>
      <c r="IQ37" s="36"/>
      <c r="IR37" s="36"/>
      <c r="IS37" s="36"/>
      <c r="IT37" s="36"/>
      <c r="IU37" s="36"/>
      <c r="IV37" s="36"/>
      <c r="IW37" s="36"/>
      <c r="IX37" s="36"/>
      <c r="IY37" s="36"/>
      <c r="IZ37" s="36"/>
      <c r="JA37" s="36"/>
      <c r="JB37" s="36"/>
      <c r="JC37" s="36"/>
      <c r="JD37" s="36"/>
      <c r="JE37" s="36"/>
      <c r="JF37" s="36"/>
      <c r="JG37" s="36"/>
      <c r="JH37" s="36"/>
      <c r="JI37" s="36"/>
      <c r="JJ37" s="36"/>
      <c r="JK37" s="36"/>
      <c r="JL37" s="36"/>
      <c r="JM37" s="36"/>
      <c r="JN37" s="36"/>
      <c r="JO37" s="36"/>
      <c r="JP37" s="36"/>
      <c r="JQ37" s="36"/>
      <c r="JR37" s="36"/>
      <c r="JS37" s="36"/>
      <c r="JT37" s="36"/>
      <c r="JU37" s="36"/>
      <c r="JV37" s="36"/>
      <c r="JW37" s="36"/>
      <c r="JX37" s="36"/>
      <c r="JY37" s="36"/>
      <c r="JZ37" s="36"/>
      <c r="KA37" s="36"/>
      <c r="KD37" s="15"/>
      <c r="KE37" s="51"/>
      <c r="KH37" s="15"/>
      <c r="KI37" s="15"/>
      <c r="KM37" s="56"/>
      <c r="KN37" s="56"/>
      <c r="KO37" s="56"/>
      <c r="KP37" s="56"/>
      <c r="KQ37" s="56"/>
      <c r="KR37" s="56"/>
      <c r="KS37" s="56"/>
      <c r="KT37" s="56"/>
      <c r="KU37" s="56"/>
      <c r="KV37" s="56"/>
      <c r="KW37" s="56"/>
    </row>
    <row r="38" spans="2:309">
      <c r="B38" s="49" t="s">
        <v>430</v>
      </c>
      <c r="C38" s="36" t="s">
        <v>427</v>
      </c>
      <c r="D38" s="36" t="s">
        <v>91</v>
      </c>
      <c r="E38" s="36" t="s">
        <v>511</v>
      </c>
      <c r="F38" s="51">
        <v>41715</v>
      </c>
      <c r="G38" s="51">
        <v>41715</v>
      </c>
      <c r="H38" s="50" t="s">
        <v>515</v>
      </c>
      <c r="I38" s="38">
        <v>1005</v>
      </c>
      <c r="J38" s="38">
        <v>1033</v>
      </c>
      <c r="K38" s="36"/>
      <c r="L38" s="36"/>
      <c r="M38" s="36"/>
      <c r="N38" s="36"/>
      <c r="O38" s="38">
        <v>1005</v>
      </c>
      <c r="P38" s="38">
        <v>1033</v>
      </c>
      <c r="Q38" s="36"/>
      <c r="R38" s="36"/>
      <c r="S38" s="36"/>
      <c r="T38" s="36"/>
      <c r="U38" s="36"/>
      <c r="V38" s="36"/>
      <c r="W38" s="36"/>
      <c r="X38" s="36"/>
      <c r="Y38" s="36"/>
      <c r="Z38" s="36"/>
      <c r="AA38" s="36" t="s">
        <v>92</v>
      </c>
      <c r="AB38" s="36" t="s">
        <v>481</v>
      </c>
      <c r="AC38" s="36" t="s">
        <v>94</v>
      </c>
      <c r="AD38" s="36" t="s">
        <v>95</v>
      </c>
      <c r="AE38" s="51">
        <v>41715</v>
      </c>
      <c r="AF38" s="39">
        <v>1</v>
      </c>
      <c r="AG38" s="39">
        <f t="shared" ref="AG38:AG40" si="0">AH38*AJ38</f>
        <v>1000</v>
      </c>
      <c r="AH38" s="39">
        <v>1000</v>
      </c>
      <c r="AI38" s="36"/>
      <c r="AJ38" s="39">
        <v>1</v>
      </c>
      <c r="AK38" s="36"/>
      <c r="AL38" s="36" t="s">
        <v>426</v>
      </c>
      <c r="AM38" s="50" t="s">
        <v>515</v>
      </c>
      <c r="AN38" s="36" t="s">
        <v>503</v>
      </c>
      <c r="AO38" s="36">
        <v>3</v>
      </c>
      <c r="AP38" s="36">
        <v>4</v>
      </c>
      <c r="AQ38" s="34">
        <v>5</v>
      </c>
      <c r="AR38" s="34">
        <v>6</v>
      </c>
      <c r="AS38" s="36">
        <v>7</v>
      </c>
      <c r="AT38" s="36">
        <v>8</v>
      </c>
      <c r="AU38" s="36">
        <v>9</v>
      </c>
      <c r="AV38" s="36">
        <v>10</v>
      </c>
      <c r="AW38" s="36">
        <v>11</v>
      </c>
      <c r="AX38" s="36">
        <v>12</v>
      </c>
      <c r="AY38" s="36">
        <v>13</v>
      </c>
      <c r="AZ38" s="36">
        <v>14</v>
      </c>
      <c r="BA38" s="36">
        <v>15</v>
      </c>
      <c r="BB38" s="36"/>
      <c r="BC38" s="36"/>
      <c r="BD38" s="34"/>
      <c r="BE38" s="36"/>
      <c r="BF38" s="36"/>
      <c r="BG38" s="36"/>
      <c r="BH38" s="36"/>
      <c r="BI38" s="64"/>
      <c r="BJ38" s="64"/>
      <c r="BK38" s="64"/>
      <c r="BL38" s="64"/>
      <c r="BM38" s="64"/>
      <c r="BN38" s="36"/>
      <c r="BO38" s="36"/>
      <c r="BP38" s="36"/>
      <c r="BQ38" s="36"/>
      <c r="BR38" s="36"/>
      <c r="BS38" s="36"/>
      <c r="BT38" s="36"/>
      <c r="BU38" s="36"/>
      <c r="BV38" s="36"/>
      <c r="BW38" s="36"/>
      <c r="BX38" s="36"/>
      <c r="BY38" s="36"/>
      <c r="BZ38" s="36"/>
      <c r="CA38" s="36"/>
      <c r="CB38" s="36"/>
      <c r="CC38" s="36"/>
      <c r="CD38" s="36"/>
      <c r="CE38" s="36"/>
      <c r="CF38" s="36"/>
      <c r="CG38" s="36"/>
      <c r="CH38" s="36"/>
      <c r="CI38" s="36"/>
      <c r="CJ38" s="36"/>
      <c r="CK38" s="36"/>
      <c r="CL38" s="36"/>
      <c r="CM38" s="36"/>
      <c r="CN38" s="36"/>
      <c r="CO38" s="36"/>
      <c r="CP38" s="36"/>
      <c r="CQ38" s="36"/>
      <c r="CR38" s="36"/>
      <c r="CS38" s="36"/>
      <c r="CT38" s="36"/>
      <c r="CU38" s="36"/>
      <c r="CV38" s="36"/>
      <c r="CW38" s="36"/>
      <c r="CX38" s="36"/>
      <c r="CY38" s="36"/>
      <c r="CZ38" s="36"/>
      <c r="DA38" s="36"/>
      <c r="DB38" s="36"/>
      <c r="DC38" s="65"/>
      <c r="DD38" s="36"/>
      <c r="DE38" s="36"/>
      <c r="DF38" s="62"/>
      <c r="DG38" s="36"/>
      <c r="DH38" s="36"/>
      <c r="DI38" s="36"/>
      <c r="DJ38" s="36"/>
      <c r="DK38" s="36"/>
      <c r="DL38" s="36"/>
      <c r="DM38" s="36"/>
      <c r="DN38" s="36"/>
      <c r="DO38" s="36"/>
      <c r="DP38" s="36"/>
      <c r="DQ38" s="36"/>
      <c r="DR38" s="36"/>
      <c r="DS38" s="36"/>
      <c r="DT38" s="36"/>
      <c r="DU38" s="36"/>
      <c r="DV38" s="36"/>
      <c r="DW38" s="36"/>
      <c r="DX38" s="36"/>
      <c r="DY38" s="36"/>
      <c r="DZ38" s="36"/>
      <c r="EA38" s="36"/>
      <c r="EB38" s="36"/>
      <c r="EC38" s="36"/>
      <c r="ED38" s="36"/>
      <c r="EE38" s="36"/>
      <c r="EF38" s="36"/>
      <c r="EG38" s="36"/>
      <c r="EH38" s="36"/>
      <c r="EI38" s="36"/>
      <c r="EJ38" s="36"/>
      <c r="EK38" s="36"/>
      <c r="EL38" s="36"/>
      <c r="EM38" s="36"/>
      <c r="EN38" s="36"/>
      <c r="EO38" s="36"/>
      <c r="EP38" s="36"/>
      <c r="EQ38" s="36"/>
      <c r="ER38" s="36"/>
      <c r="ES38" s="36"/>
      <c r="ET38" s="36"/>
      <c r="EU38" s="36"/>
      <c r="EV38" s="36"/>
      <c r="EW38" s="36"/>
      <c r="EX38" s="36"/>
      <c r="EY38" s="36"/>
      <c r="EZ38" s="36"/>
      <c r="FA38" s="36"/>
      <c r="FB38" s="36"/>
      <c r="FC38" s="36"/>
      <c r="FD38" s="36"/>
      <c r="FE38" s="36"/>
      <c r="FF38" s="36"/>
      <c r="FG38" s="36"/>
      <c r="FH38" s="36"/>
      <c r="FI38" s="36"/>
      <c r="FJ38" s="36"/>
      <c r="FK38" s="36"/>
      <c r="FL38" s="36"/>
      <c r="FM38" s="36"/>
      <c r="FN38" s="36"/>
      <c r="FO38" s="36"/>
      <c r="FP38" s="36"/>
      <c r="FQ38" s="36"/>
      <c r="FR38" s="36"/>
      <c r="FS38" s="36"/>
      <c r="FT38" s="36"/>
      <c r="FU38" s="36"/>
      <c r="FV38" s="36"/>
      <c r="FW38" s="36"/>
      <c r="FX38" s="36"/>
      <c r="FY38" s="36"/>
      <c r="FZ38" s="36"/>
      <c r="GA38" s="36"/>
      <c r="GB38" s="36"/>
      <c r="GC38" s="36"/>
      <c r="GD38" s="36"/>
      <c r="GE38" s="36"/>
      <c r="GF38" s="36"/>
      <c r="GG38" s="36"/>
      <c r="GH38" s="36"/>
      <c r="GI38" s="36"/>
      <c r="GJ38" s="36"/>
      <c r="GK38" s="36"/>
      <c r="GL38" s="36"/>
      <c r="GM38" s="36"/>
      <c r="GN38" s="36"/>
      <c r="GO38" s="36"/>
      <c r="GP38" s="36"/>
      <c r="GQ38" s="36"/>
      <c r="GR38" s="36"/>
      <c r="GS38" s="36"/>
      <c r="GT38" s="36"/>
      <c r="GU38" s="36"/>
      <c r="GV38" s="36"/>
      <c r="GW38" s="36"/>
      <c r="GX38" s="36"/>
      <c r="GY38" s="36"/>
      <c r="GZ38" s="36"/>
      <c r="HA38" s="36"/>
      <c r="HB38" s="36"/>
      <c r="HC38" s="36"/>
      <c r="HD38" s="36"/>
      <c r="HE38" s="36"/>
      <c r="HF38" s="36"/>
      <c r="HG38" s="36"/>
      <c r="HH38" s="36"/>
      <c r="HI38" s="36"/>
      <c r="HJ38" s="36"/>
      <c r="HK38" s="36"/>
      <c r="HL38" s="36"/>
      <c r="HM38" s="36"/>
      <c r="HN38" s="36"/>
      <c r="HO38" s="36"/>
      <c r="HP38" s="36"/>
      <c r="HQ38" s="36"/>
      <c r="HR38" s="36"/>
      <c r="HS38" s="36"/>
      <c r="HT38" s="36"/>
      <c r="HU38" s="36"/>
      <c r="HV38" s="36"/>
      <c r="HW38" s="36"/>
      <c r="HX38" s="36"/>
      <c r="HY38" s="36"/>
      <c r="HZ38" s="36"/>
      <c r="IA38" s="36"/>
      <c r="IB38" s="36"/>
      <c r="IC38" s="36"/>
      <c r="ID38" s="36"/>
      <c r="IE38" s="36"/>
      <c r="IF38" s="36"/>
      <c r="IG38" s="36"/>
      <c r="IH38" s="36"/>
      <c r="II38" s="36"/>
      <c r="IJ38" s="36"/>
      <c r="IK38" s="36"/>
      <c r="IL38" s="36"/>
      <c r="IM38" s="36"/>
      <c r="IN38" s="36"/>
      <c r="IO38" s="36"/>
      <c r="IP38" s="36"/>
      <c r="IQ38" s="36"/>
      <c r="IR38" s="36"/>
      <c r="IS38" s="36"/>
      <c r="IT38" s="36"/>
      <c r="IU38" s="36"/>
      <c r="IV38" s="36"/>
      <c r="IW38" s="36"/>
      <c r="IX38" s="36"/>
      <c r="IY38" s="36"/>
      <c r="IZ38" s="36"/>
      <c r="JA38" s="36"/>
      <c r="JB38" s="36"/>
      <c r="JC38" s="36"/>
      <c r="JD38" s="36"/>
      <c r="JE38" s="36"/>
      <c r="JF38" s="36"/>
      <c r="JG38" s="36"/>
      <c r="JH38" s="36"/>
      <c r="JI38" s="36"/>
      <c r="JJ38" s="36"/>
      <c r="JK38" s="36"/>
      <c r="JL38" s="36"/>
      <c r="JM38" s="36"/>
      <c r="JN38" s="36"/>
      <c r="JO38" s="36"/>
      <c r="JP38" s="36"/>
      <c r="JQ38" s="36"/>
      <c r="JR38" s="36"/>
      <c r="JS38" s="36"/>
      <c r="JT38" s="36"/>
      <c r="JU38" s="36"/>
      <c r="JV38" s="36"/>
      <c r="JW38" s="36"/>
      <c r="JX38" s="36"/>
      <c r="JY38" s="36"/>
      <c r="JZ38" s="36"/>
      <c r="KA38" s="36"/>
      <c r="KD38" s="15"/>
      <c r="KE38" s="51"/>
      <c r="KH38" s="15"/>
      <c r="KI38" s="15"/>
      <c r="KM38" s="56"/>
      <c r="KN38" s="56"/>
      <c r="KO38" s="56"/>
      <c r="KP38" s="56"/>
      <c r="KQ38" s="56"/>
      <c r="KR38" s="56"/>
      <c r="KS38" s="56"/>
      <c r="KT38" s="56"/>
      <c r="KU38" s="56"/>
      <c r="KV38" s="56"/>
      <c r="KW38" s="56"/>
    </row>
    <row r="39" spans="2:309">
      <c r="B39" s="49" t="s">
        <v>430</v>
      </c>
      <c r="C39" s="36" t="s">
        <v>427</v>
      </c>
      <c r="D39" s="36" t="s">
        <v>91</v>
      </c>
      <c r="E39" s="36" t="s">
        <v>511</v>
      </c>
      <c r="F39" s="51">
        <v>41715</v>
      </c>
      <c r="G39" s="51">
        <v>41715</v>
      </c>
      <c r="H39" s="50" t="s">
        <v>515</v>
      </c>
      <c r="I39" s="38">
        <v>1005</v>
      </c>
      <c r="J39" s="38">
        <v>1033</v>
      </c>
      <c r="K39" s="36"/>
      <c r="L39" s="36"/>
      <c r="M39" s="36"/>
      <c r="N39" s="36"/>
      <c r="O39" s="38">
        <v>1005</v>
      </c>
      <c r="P39" s="38">
        <v>1033</v>
      </c>
      <c r="Q39" s="36"/>
      <c r="R39" s="36"/>
      <c r="S39" s="36"/>
      <c r="T39" s="36"/>
      <c r="U39" s="36"/>
      <c r="V39" s="36"/>
      <c r="W39" s="36"/>
      <c r="X39" s="36"/>
      <c r="Y39" s="36"/>
      <c r="Z39" s="36"/>
      <c r="AA39" s="36" t="s">
        <v>516</v>
      </c>
      <c r="AB39" s="36" t="s">
        <v>481</v>
      </c>
      <c r="AC39" s="36" t="s">
        <v>94</v>
      </c>
      <c r="AD39" s="36" t="s">
        <v>95</v>
      </c>
      <c r="AE39" s="51">
        <v>41715</v>
      </c>
      <c r="AF39" s="39">
        <v>1</v>
      </c>
      <c r="AG39" s="39">
        <f t="shared" si="0"/>
        <v>1000</v>
      </c>
      <c r="AH39" s="39">
        <v>1000</v>
      </c>
      <c r="AI39" s="36"/>
      <c r="AJ39" s="39">
        <v>1</v>
      </c>
      <c r="AK39" s="36"/>
      <c r="AL39" s="36" t="s">
        <v>426</v>
      </c>
      <c r="AM39" s="50" t="s">
        <v>515</v>
      </c>
      <c r="AN39" s="36" t="s">
        <v>517</v>
      </c>
      <c r="AO39" s="36">
        <v>3</v>
      </c>
      <c r="AP39" s="36">
        <v>4</v>
      </c>
      <c r="AQ39" s="34">
        <v>5</v>
      </c>
      <c r="AR39" s="34">
        <v>6</v>
      </c>
      <c r="AS39" s="36">
        <v>7</v>
      </c>
      <c r="AT39" s="36">
        <v>8</v>
      </c>
      <c r="AU39" s="36">
        <v>9</v>
      </c>
      <c r="AV39" s="36">
        <v>10</v>
      </c>
      <c r="AW39" s="36">
        <v>11</v>
      </c>
      <c r="AX39" s="36">
        <v>12</v>
      </c>
      <c r="AY39" s="36">
        <v>13</v>
      </c>
      <c r="AZ39" s="36">
        <v>14</v>
      </c>
      <c r="BA39" s="36">
        <v>15</v>
      </c>
      <c r="BB39" s="36"/>
      <c r="BC39" s="36"/>
      <c r="BD39" s="34"/>
      <c r="BE39" s="36"/>
      <c r="BF39" s="36"/>
      <c r="BG39" s="36"/>
      <c r="BH39" s="36"/>
      <c r="BI39" s="64"/>
      <c r="BJ39" s="64"/>
      <c r="BK39" s="64"/>
      <c r="BL39" s="64"/>
      <c r="BM39" s="64"/>
      <c r="BN39" s="36"/>
      <c r="BO39" s="36"/>
      <c r="BP39" s="36"/>
      <c r="BQ39" s="36"/>
      <c r="BR39" s="36"/>
      <c r="BS39" s="36"/>
      <c r="BT39" s="36"/>
      <c r="BU39" s="36"/>
      <c r="BV39" s="36"/>
      <c r="BW39" s="36"/>
      <c r="BX39" s="36"/>
      <c r="BY39" s="36"/>
      <c r="BZ39" s="36"/>
      <c r="CA39" s="36"/>
      <c r="CB39" s="36"/>
      <c r="CC39" s="36"/>
      <c r="CD39" s="36"/>
      <c r="CE39" s="36"/>
      <c r="CF39" s="36"/>
      <c r="CG39" s="36"/>
      <c r="CH39" s="36"/>
      <c r="CI39" s="36"/>
      <c r="CJ39" s="36"/>
      <c r="CK39" s="36"/>
      <c r="CL39" s="36"/>
      <c r="CM39" s="36"/>
      <c r="CN39" s="36"/>
      <c r="CO39" s="36"/>
      <c r="CP39" s="36"/>
      <c r="CQ39" s="36"/>
      <c r="CR39" s="36"/>
      <c r="CS39" s="36"/>
      <c r="CT39" s="36"/>
      <c r="CU39" s="36"/>
      <c r="CV39" s="36"/>
      <c r="CW39" s="36"/>
      <c r="CX39" s="36" t="s">
        <v>518</v>
      </c>
      <c r="CY39" s="36" t="s">
        <v>519</v>
      </c>
      <c r="CZ39" s="56" t="s">
        <v>520</v>
      </c>
      <c r="DA39" s="36"/>
      <c r="DB39" s="36"/>
      <c r="DC39" s="65"/>
      <c r="DD39" s="36"/>
      <c r="DE39" s="36"/>
      <c r="DF39" s="62"/>
      <c r="DG39" s="36"/>
      <c r="DH39" s="36"/>
      <c r="DI39" s="36"/>
      <c r="DJ39" s="36"/>
      <c r="DK39" s="36" t="s">
        <v>426</v>
      </c>
      <c r="DL39" s="50" t="s">
        <v>515</v>
      </c>
      <c r="DM39" s="36" t="s">
        <v>503</v>
      </c>
      <c r="DN39" s="36">
        <v>3</v>
      </c>
      <c r="DO39" s="36">
        <v>4</v>
      </c>
      <c r="DP39" s="34">
        <v>5</v>
      </c>
      <c r="DQ39" s="34">
        <v>6</v>
      </c>
      <c r="DR39" s="36">
        <v>7</v>
      </c>
      <c r="DS39" s="36">
        <v>8</v>
      </c>
      <c r="DT39" s="36">
        <v>9</v>
      </c>
      <c r="DU39" s="36">
        <v>10</v>
      </c>
      <c r="DV39" s="36">
        <v>11</v>
      </c>
      <c r="DW39" s="36">
        <v>12</v>
      </c>
      <c r="DX39" s="36">
        <v>13</v>
      </c>
      <c r="DY39" s="36">
        <v>14</v>
      </c>
      <c r="DZ39" s="36">
        <v>15</v>
      </c>
      <c r="EA39" s="36"/>
      <c r="EB39" s="36"/>
      <c r="EC39" s="36"/>
      <c r="ED39" s="36"/>
      <c r="EE39" s="36"/>
      <c r="EF39" s="36"/>
      <c r="EG39" s="36"/>
      <c r="EH39" s="36"/>
      <c r="EI39" s="36"/>
      <c r="EJ39" s="36"/>
      <c r="EK39" s="36"/>
      <c r="EL39" s="36"/>
      <c r="EM39" s="36"/>
      <c r="EN39" s="36"/>
      <c r="EO39" s="36"/>
      <c r="EP39" s="36"/>
      <c r="EQ39" s="36"/>
      <c r="ER39" s="36"/>
      <c r="ES39" s="36"/>
      <c r="ET39" s="36"/>
      <c r="EU39" s="36"/>
      <c r="EV39" s="36"/>
      <c r="EW39" s="36"/>
      <c r="EX39" s="36"/>
      <c r="EY39" s="36"/>
      <c r="EZ39" s="36"/>
      <c r="FA39" s="36"/>
      <c r="FB39" s="36"/>
      <c r="FC39" s="36"/>
      <c r="FD39" s="36"/>
      <c r="FE39" s="36"/>
      <c r="FF39" s="36"/>
      <c r="FG39" s="36"/>
      <c r="FH39" s="36"/>
      <c r="FI39" s="36"/>
      <c r="FJ39" s="36"/>
      <c r="FK39" s="36"/>
      <c r="FL39" s="36"/>
      <c r="FM39" s="36"/>
      <c r="FN39" s="36"/>
      <c r="FO39" s="36"/>
      <c r="FP39" s="36"/>
      <c r="FQ39" s="36"/>
      <c r="FR39" s="36"/>
      <c r="FS39" s="36"/>
      <c r="FT39" s="36"/>
      <c r="FU39" s="36"/>
      <c r="FV39" s="36"/>
      <c r="FW39" s="36"/>
      <c r="FX39" s="36"/>
      <c r="FY39" s="36"/>
      <c r="FZ39" s="36"/>
      <c r="GA39" s="36"/>
      <c r="GB39" s="36"/>
      <c r="GC39" s="36"/>
      <c r="GD39" s="36"/>
      <c r="GE39" s="36"/>
      <c r="GF39" s="36"/>
      <c r="GG39" s="36"/>
      <c r="GH39" s="36"/>
      <c r="GI39" s="36"/>
      <c r="GJ39" s="36"/>
      <c r="GK39" s="36"/>
      <c r="GL39" s="36"/>
      <c r="GM39" s="36"/>
      <c r="GN39" s="36"/>
      <c r="GO39" s="36"/>
      <c r="GP39" s="36"/>
      <c r="GQ39" s="36"/>
      <c r="GR39" s="36"/>
      <c r="GS39" s="36"/>
      <c r="GT39" s="36"/>
      <c r="GU39" s="36"/>
      <c r="GV39" s="36"/>
      <c r="GW39" s="36"/>
      <c r="GX39" s="36"/>
      <c r="GY39" s="36"/>
      <c r="GZ39" s="36"/>
      <c r="HA39" s="36"/>
      <c r="HB39" s="36"/>
      <c r="HC39" s="36"/>
      <c r="HD39" s="36"/>
      <c r="HE39" s="36"/>
      <c r="HF39" s="36"/>
      <c r="HG39" s="36"/>
      <c r="HH39" s="36"/>
      <c r="HI39" s="36"/>
      <c r="HJ39" s="36"/>
      <c r="HK39" s="36"/>
      <c r="HL39" s="36"/>
      <c r="HM39" s="36"/>
      <c r="HN39" s="36"/>
      <c r="HO39" s="36"/>
      <c r="HP39" s="36"/>
      <c r="HQ39" s="36"/>
      <c r="HR39" s="36"/>
      <c r="HS39" s="36"/>
      <c r="HT39" s="36"/>
      <c r="HU39" s="36"/>
      <c r="HV39" s="36"/>
      <c r="HW39" s="36"/>
      <c r="HX39" s="36"/>
      <c r="HY39" s="36"/>
      <c r="HZ39" s="36"/>
      <c r="IA39" s="36"/>
      <c r="IB39" s="36"/>
      <c r="IC39" s="36"/>
      <c r="ID39" s="36"/>
      <c r="IE39" s="36"/>
      <c r="IF39" s="36"/>
      <c r="IG39" s="36"/>
      <c r="IH39" s="36"/>
      <c r="II39" s="36"/>
      <c r="IJ39" s="36"/>
      <c r="IK39" s="36"/>
      <c r="IL39" s="36"/>
      <c r="IM39" s="36"/>
      <c r="IN39" s="36"/>
      <c r="IO39" s="36"/>
      <c r="IP39" s="36"/>
      <c r="IQ39" s="36"/>
      <c r="IR39" s="36"/>
      <c r="IS39" s="36"/>
      <c r="IT39" s="36"/>
      <c r="IU39" s="36"/>
      <c r="IV39" s="36"/>
      <c r="IW39" s="36"/>
      <c r="IX39" s="36"/>
      <c r="IY39" s="36"/>
      <c r="IZ39" s="36"/>
      <c r="JA39" s="36"/>
      <c r="JB39" s="36"/>
      <c r="JC39" s="36"/>
      <c r="JD39" s="36"/>
      <c r="JE39" s="36"/>
      <c r="JF39" s="36"/>
      <c r="JG39" s="36"/>
      <c r="JH39" s="36"/>
      <c r="JI39" s="36"/>
      <c r="JJ39" s="36"/>
      <c r="JK39" s="36"/>
      <c r="JL39" s="36"/>
      <c r="JM39" s="36"/>
      <c r="JN39" s="36"/>
      <c r="JO39" s="36"/>
      <c r="JP39" s="36"/>
      <c r="JQ39" s="36"/>
      <c r="JR39" s="36"/>
      <c r="JS39" s="36"/>
      <c r="JT39" s="36"/>
      <c r="JU39" s="36"/>
      <c r="JV39" s="36"/>
      <c r="JW39" s="36"/>
      <c r="JX39" s="36"/>
      <c r="JY39" s="36"/>
      <c r="JZ39" s="36"/>
      <c r="KA39" s="36"/>
      <c r="KD39" s="15"/>
      <c r="KE39" s="51"/>
      <c r="KH39" s="15"/>
      <c r="KI39" s="15"/>
      <c r="KM39" s="56"/>
      <c r="KN39" s="56"/>
      <c r="KO39" s="56"/>
      <c r="KP39" s="56"/>
      <c r="KQ39" s="56"/>
      <c r="KR39" s="56"/>
      <c r="KS39" s="56"/>
      <c r="KT39" s="56"/>
      <c r="KU39" s="56"/>
      <c r="KV39" s="56"/>
      <c r="KW39" s="56"/>
    </row>
    <row r="40" spans="2:309">
      <c r="B40" s="49" t="s">
        <v>430</v>
      </c>
      <c r="C40" s="36" t="s">
        <v>427</v>
      </c>
      <c r="D40" s="36" t="s">
        <v>91</v>
      </c>
      <c r="E40" s="36" t="s">
        <v>511</v>
      </c>
      <c r="F40" s="51">
        <v>41715</v>
      </c>
      <c r="G40" s="51">
        <v>41715</v>
      </c>
      <c r="H40" s="50" t="s">
        <v>521</v>
      </c>
      <c r="I40" s="38">
        <v>1005</v>
      </c>
      <c r="J40" s="38">
        <v>1033</v>
      </c>
      <c r="K40" s="36"/>
      <c r="L40" s="36"/>
      <c r="M40" s="36"/>
      <c r="N40" s="36"/>
      <c r="O40" s="38">
        <v>1005</v>
      </c>
      <c r="P40" s="38">
        <v>1033</v>
      </c>
      <c r="Q40" s="36"/>
      <c r="R40" s="36"/>
      <c r="S40" s="36"/>
      <c r="T40" s="36"/>
      <c r="U40" s="36"/>
      <c r="V40" s="36"/>
      <c r="W40" s="36"/>
      <c r="X40" s="36"/>
      <c r="Y40" s="36"/>
      <c r="Z40" s="36"/>
      <c r="AA40" s="36" t="s">
        <v>516</v>
      </c>
      <c r="AB40" s="36" t="s">
        <v>522</v>
      </c>
      <c r="AC40" s="36" t="s">
        <v>94</v>
      </c>
      <c r="AD40" s="36" t="s">
        <v>95</v>
      </c>
      <c r="AE40" s="51">
        <v>41715</v>
      </c>
      <c r="AF40" s="39">
        <v>1</v>
      </c>
      <c r="AG40" s="39">
        <f t="shared" si="0"/>
        <v>1000</v>
      </c>
      <c r="AH40" s="39">
        <v>1000</v>
      </c>
      <c r="AI40" s="36"/>
      <c r="AJ40" s="39">
        <v>1</v>
      </c>
      <c r="AK40" s="36"/>
      <c r="AL40" s="36" t="s">
        <v>426</v>
      </c>
      <c r="AM40" s="50" t="s">
        <v>521</v>
      </c>
      <c r="AN40" s="36" t="s">
        <v>523</v>
      </c>
      <c r="AO40" s="36">
        <v>3</v>
      </c>
      <c r="AP40" s="36">
        <v>4</v>
      </c>
      <c r="AQ40" s="34">
        <v>5</v>
      </c>
      <c r="AR40" s="34">
        <v>6</v>
      </c>
      <c r="AS40" s="36">
        <v>7</v>
      </c>
      <c r="AT40" s="36">
        <v>8</v>
      </c>
      <c r="AU40" s="36">
        <v>9</v>
      </c>
      <c r="AV40" s="36">
        <v>10</v>
      </c>
      <c r="AW40" s="36">
        <v>11</v>
      </c>
      <c r="AX40" s="36">
        <v>12</v>
      </c>
      <c r="AY40" s="36">
        <v>13</v>
      </c>
      <c r="AZ40" s="36">
        <v>14</v>
      </c>
      <c r="BA40" s="36">
        <v>15</v>
      </c>
      <c r="BB40" s="36"/>
      <c r="BC40" s="36"/>
      <c r="BD40" s="34"/>
      <c r="BE40" s="36"/>
      <c r="BF40" s="36"/>
      <c r="BG40" s="36"/>
      <c r="BH40" s="36"/>
      <c r="BI40" s="64"/>
      <c r="BJ40" s="64"/>
      <c r="BK40" s="64"/>
      <c r="BL40" s="64"/>
      <c r="BM40" s="64"/>
      <c r="BN40" s="36"/>
      <c r="BO40" s="36"/>
      <c r="BP40" s="36"/>
      <c r="BQ40" s="36"/>
      <c r="BR40" s="36"/>
      <c r="BS40" s="36"/>
      <c r="BT40" s="36"/>
      <c r="BU40" s="36"/>
      <c r="BV40" s="36"/>
      <c r="BW40" s="36"/>
      <c r="BX40" s="36"/>
      <c r="BY40" s="36"/>
      <c r="BZ40" s="36"/>
      <c r="CA40" s="36"/>
      <c r="CB40" s="36"/>
      <c r="CC40" s="36"/>
      <c r="CD40" s="36"/>
      <c r="CE40" s="36"/>
      <c r="CF40" s="36"/>
      <c r="CG40" s="36"/>
      <c r="CH40" s="36"/>
      <c r="CI40" s="36"/>
      <c r="CJ40" s="36"/>
      <c r="CK40" s="36"/>
      <c r="CL40" s="36"/>
      <c r="CM40" s="36"/>
      <c r="CN40" s="36"/>
      <c r="CO40" s="36"/>
      <c r="CP40" s="36"/>
      <c r="CQ40" s="36"/>
      <c r="CR40" s="36"/>
      <c r="CS40" s="36"/>
      <c r="CT40" s="36"/>
      <c r="CU40" s="36"/>
      <c r="CV40" s="36"/>
      <c r="CW40" s="36"/>
      <c r="CX40" s="36" t="s">
        <v>518</v>
      </c>
      <c r="CY40" s="36" t="s">
        <v>524</v>
      </c>
      <c r="CZ40" s="56" t="s">
        <v>525</v>
      </c>
      <c r="DA40" s="36"/>
      <c r="DB40" s="36"/>
      <c r="DC40" s="65"/>
      <c r="DD40" s="36"/>
      <c r="DE40" s="36"/>
      <c r="DF40" s="62"/>
      <c r="DG40" s="36"/>
      <c r="DH40" s="36"/>
      <c r="DI40" s="36"/>
      <c r="DJ40" s="36"/>
      <c r="DK40" s="36"/>
      <c r="DM40" s="36"/>
      <c r="DN40" s="36"/>
      <c r="DO40" s="36"/>
      <c r="DP40" s="34"/>
      <c r="DQ40" s="34"/>
      <c r="DR40" s="36"/>
      <c r="DS40" s="36"/>
      <c r="DT40" s="36"/>
      <c r="DU40" s="36"/>
      <c r="DV40" s="36"/>
      <c r="DW40" s="36"/>
      <c r="DX40" s="36"/>
      <c r="DY40" s="36"/>
      <c r="DZ40" s="36"/>
      <c r="EA40" s="36"/>
      <c r="EB40" s="36"/>
      <c r="EC40" s="36"/>
      <c r="ED40" s="36"/>
      <c r="EE40" s="36"/>
      <c r="EF40" s="36"/>
      <c r="EG40" s="36"/>
      <c r="EH40" s="36"/>
      <c r="EI40" s="36"/>
      <c r="EJ40" s="36"/>
      <c r="EK40" s="36"/>
      <c r="EL40" s="36"/>
      <c r="EM40" s="36"/>
      <c r="EN40" s="36"/>
      <c r="EO40" s="36"/>
      <c r="EP40" s="36"/>
      <c r="EQ40" s="36"/>
      <c r="ER40" s="36"/>
      <c r="ES40" s="36"/>
      <c r="ET40" s="36"/>
      <c r="EU40" s="36"/>
      <c r="EV40" s="36"/>
      <c r="EW40" s="36"/>
      <c r="EX40" s="36"/>
      <c r="EY40" s="36"/>
      <c r="EZ40" s="36"/>
      <c r="FA40" s="36"/>
      <c r="FB40" s="36"/>
      <c r="FC40" s="36"/>
      <c r="FD40" s="36"/>
      <c r="FE40" s="36"/>
      <c r="FF40" s="36"/>
      <c r="FG40" s="36"/>
      <c r="FH40" s="36"/>
      <c r="FI40" s="36"/>
      <c r="FJ40" s="36"/>
      <c r="FK40" s="36"/>
      <c r="FL40" s="36"/>
      <c r="FM40" s="36"/>
      <c r="FN40" s="36"/>
      <c r="FO40" s="36"/>
      <c r="FP40" s="36"/>
      <c r="FQ40" s="36"/>
      <c r="FR40" s="36"/>
      <c r="FS40" s="36"/>
      <c r="FT40" s="36"/>
      <c r="FU40" s="36"/>
      <c r="FV40" s="36"/>
      <c r="FW40" s="36"/>
      <c r="FX40" s="36"/>
      <c r="FY40" s="36"/>
      <c r="FZ40" s="36"/>
      <c r="GA40" s="36"/>
      <c r="GB40" s="36"/>
      <c r="GC40" s="36"/>
      <c r="GD40" s="36"/>
      <c r="GE40" s="36"/>
      <c r="GF40" s="36"/>
      <c r="GG40" s="36"/>
      <c r="GH40" s="36"/>
      <c r="GI40" s="36"/>
      <c r="GJ40" s="36"/>
      <c r="GK40" s="36"/>
      <c r="GL40" s="36"/>
      <c r="GM40" s="36"/>
      <c r="GN40" s="36"/>
      <c r="GO40" s="36"/>
      <c r="GP40" s="36"/>
      <c r="GQ40" s="36"/>
      <c r="GR40" s="36"/>
      <c r="GS40" s="36"/>
      <c r="GT40" s="36"/>
      <c r="GU40" s="36"/>
      <c r="GV40" s="36"/>
      <c r="GW40" s="36"/>
      <c r="GX40" s="36"/>
      <c r="GY40" s="36"/>
      <c r="GZ40" s="36"/>
      <c r="HA40" s="36"/>
      <c r="HB40" s="36"/>
      <c r="HC40" s="36"/>
      <c r="HD40" s="36"/>
      <c r="HE40" s="36"/>
      <c r="HF40" s="36"/>
      <c r="HG40" s="36"/>
      <c r="HH40" s="36"/>
      <c r="HI40" s="36"/>
      <c r="HJ40" s="36"/>
      <c r="HK40" s="36"/>
      <c r="HL40" s="36"/>
      <c r="HM40" s="36"/>
      <c r="HN40" s="36"/>
      <c r="HO40" s="36"/>
      <c r="HP40" s="36"/>
      <c r="HQ40" s="36"/>
      <c r="HR40" s="36"/>
      <c r="HS40" s="36"/>
      <c r="HT40" s="36"/>
      <c r="HU40" s="36"/>
      <c r="HV40" s="36"/>
      <c r="HW40" s="36"/>
      <c r="HX40" s="36"/>
      <c r="HY40" s="36"/>
      <c r="HZ40" s="36"/>
      <c r="IA40" s="36"/>
      <c r="IB40" s="36"/>
      <c r="IC40" s="36"/>
      <c r="ID40" s="36"/>
      <c r="IE40" s="36"/>
      <c r="IF40" s="36"/>
      <c r="IG40" s="36"/>
      <c r="IH40" s="36"/>
      <c r="II40" s="36"/>
      <c r="IJ40" s="36"/>
      <c r="IK40" s="36"/>
      <c r="IL40" s="36"/>
      <c r="IM40" s="36"/>
      <c r="IN40" s="36"/>
      <c r="IO40" s="36"/>
      <c r="IP40" s="36"/>
      <c r="IQ40" s="36"/>
      <c r="IR40" s="36"/>
      <c r="IS40" s="36"/>
      <c r="IT40" s="36"/>
      <c r="IU40" s="36"/>
      <c r="IV40" s="36"/>
      <c r="IW40" s="36"/>
      <c r="IX40" s="36"/>
      <c r="IY40" s="36"/>
      <c r="IZ40" s="36"/>
      <c r="JA40" s="36"/>
      <c r="JB40" s="36"/>
      <c r="JC40" s="36"/>
      <c r="JD40" s="36"/>
      <c r="JE40" s="36"/>
      <c r="JF40" s="36"/>
      <c r="JG40" s="36"/>
      <c r="JH40" s="36"/>
      <c r="JI40" s="36"/>
      <c r="JJ40" s="36"/>
      <c r="JK40" s="36"/>
      <c r="JL40" s="36"/>
      <c r="JM40" s="36"/>
      <c r="JN40" s="36"/>
      <c r="JO40" s="36"/>
      <c r="JP40" s="36"/>
      <c r="JQ40" s="36"/>
      <c r="JR40" s="36"/>
      <c r="JS40" s="36"/>
      <c r="JT40" s="36"/>
      <c r="JU40" s="36"/>
      <c r="JV40" s="36"/>
      <c r="JW40" s="36"/>
      <c r="JX40" s="36"/>
      <c r="JY40" s="36"/>
      <c r="JZ40" s="36"/>
      <c r="KA40" s="36"/>
      <c r="KD40" s="15"/>
      <c r="KE40" s="51"/>
      <c r="KH40" s="15"/>
      <c r="KI40" s="15"/>
      <c r="KM40" s="56"/>
      <c r="KN40" s="56"/>
      <c r="KO40" s="56"/>
      <c r="KP40" s="56"/>
      <c r="KQ40" s="56"/>
      <c r="KR40" s="56"/>
      <c r="KS40" s="56"/>
      <c r="KT40" s="56"/>
      <c r="KU40" s="56"/>
      <c r="KV40" s="56"/>
      <c r="KW40" s="56"/>
    </row>
    <row r="41" spans="2:309">
      <c r="B41" s="49" t="s">
        <v>430</v>
      </c>
      <c r="C41" s="36" t="s">
        <v>427</v>
      </c>
      <c r="D41" s="36" t="s">
        <v>91</v>
      </c>
      <c r="E41" s="36" t="s">
        <v>454</v>
      </c>
      <c r="F41" s="36"/>
      <c r="G41" s="36"/>
      <c r="H41" s="50" t="s">
        <v>526</v>
      </c>
      <c r="I41" s="38">
        <v>1005</v>
      </c>
      <c r="J41" s="38">
        <v>1033</v>
      </c>
      <c r="K41" s="36"/>
      <c r="L41" s="36"/>
      <c r="M41" s="36"/>
      <c r="N41" s="36"/>
      <c r="O41" s="38">
        <v>1005</v>
      </c>
      <c r="P41" s="38">
        <v>1033</v>
      </c>
      <c r="Q41" s="36"/>
      <c r="R41" s="36"/>
      <c r="S41" s="36"/>
      <c r="T41" s="36"/>
      <c r="U41" s="36"/>
      <c r="V41" s="36"/>
      <c r="W41" s="36"/>
      <c r="X41" s="36"/>
      <c r="Y41" s="36"/>
      <c r="Z41" s="36"/>
      <c r="AA41" s="36" t="s">
        <v>92</v>
      </c>
      <c r="AB41" s="36" t="s">
        <v>481</v>
      </c>
      <c r="AC41" s="36" t="s">
        <v>94</v>
      </c>
      <c r="AD41" s="36" t="s">
        <v>95</v>
      </c>
      <c r="AE41" s="51">
        <v>41715</v>
      </c>
      <c r="AF41" s="39">
        <v>1</v>
      </c>
      <c r="AG41" s="39">
        <v>1000</v>
      </c>
      <c r="AH41" s="39">
        <v>1</v>
      </c>
      <c r="AI41" s="36"/>
      <c r="AJ41" s="39">
        <v>1000</v>
      </c>
      <c r="AK41" s="36"/>
      <c r="AL41" s="36" t="s">
        <v>426</v>
      </c>
      <c r="AM41" s="50" t="s">
        <v>526</v>
      </c>
      <c r="AN41" s="36" t="s">
        <v>503</v>
      </c>
      <c r="AO41" s="36">
        <v>3</v>
      </c>
      <c r="AP41" s="36">
        <v>4</v>
      </c>
      <c r="AQ41" s="36">
        <v>5</v>
      </c>
      <c r="AR41" s="36">
        <v>6</v>
      </c>
      <c r="AS41" s="36">
        <v>7</v>
      </c>
      <c r="AT41" s="36">
        <v>8</v>
      </c>
      <c r="AU41" s="36">
        <v>9</v>
      </c>
      <c r="AV41" s="36">
        <v>10</v>
      </c>
      <c r="AW41" s="36">
        <v>11</v>
      </c>
      <c r="AX41" s="36">
        <v>12</v>
      </c>
      <c r="AY41" s="36">
        <v>13</v>
      </c>
      <c r="AZ41" s="36">
        <v>14</v>
      </c>
      <c r="BA41" s="36">
        <v>15</v>
      </c>
      <c r="BB41" s="36"/>
      <c r="BC41" s="36" t="s">
        <v>97</v>
      </c>
      <c r="BD41" s="36"/>
      <c r="BE41" s="36"/>
      <c r="BF41" s="36"/>
      <c r="BG41" s="36"/>
      <c r="BH41" s="36"/>
      <c r="BI41" s="64"/>
      <c r="BJ41" s="64"/>
      <c r="BK41" s="64"/>
      <c r="BL41" s="64"/>
      <c r="BM41" s="64"/>
      <c r="BN41" s="36"/>
      <c r="BO41" s="36"/>
      <c r="BP41" s="36"/>
      <c r="BQ41" s="36"/>
      <c r="BR41" s="36"/>
      <c r="BS41" s="36"/>
      <c r="BT41" s="36"/>
      <c r="BU41" s="36"/>
      <c r="BV41" s="36"/>
      <c r="BW41" s="36"/>
      <c r="BX41" s="36"/>
      <c r="BY41" s="36"/>
      <c r="BZ41" s="36"/>
      <c r="CA41" s="36"/>
      <c r="CB41" s="36"/>
      <c r="CC41" s="36"/>
      <c r="CD41" s="36"/>
      <c r="CE41" s="36"/>
      <c r="CF41" s="36"/>
      <c r="CG41" s="36"/>
      <c r="CH41" s="36"/>
      <c r="CI41" s="36"/>
      <c r="CJ41" s="36"/>
      <c r="CK41" s="36"/>
      <c r="CL41" s="36"/>
      <c r="CM41" s="36"/>
      <c r="CN41" s="36"/>
      <c r="CO41" s="36"/>
      <c r="CP41" s="36"/>
      <c r="CQ41" s="36"/>
      <c r="CR41" s="36"/>
      <c r="CS41" s="36"/>
      <c r="CT41" s="36"/>
      <c r="CU41" s="36"/>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c r="DV41" s="36"/>
      <c r="DW41" s="36"/>
      <c r="DX41" s="36"/>
      <c r="DY41" s="36"/>
      <c r="DZ41" s="36"/>
      <c r="EA41" s="36"/>
      <c r="EB41" s="36"/>
      <c r="EC41" s="36"/>
      <c r="ED41" s="36"/>
      <c r="EE41" s="36"/>
      <c r="EF41" s="36"/>
      <c r="EG41" s="36"/>
      <c r="EH41" s="36"/>
      <c r="EI41" s="36"/>
      <c r="EJ41" s="36"/>
      <c r="EK41" s="36"/>
      <c r="EL41" s="36"/>
      <c r="EM41" s="36"/>
      <c r="EN41" s="36"/>
      <c r="EO41" s="36"/>
      <c r="EP41" s="36"/>
      <c r="EQ41" s="36"/>
      <c r="ER41" s="36"/>
      <c r="ES41" s="36"/>
      <c r="ET41" s="36"/>
      <c r="EU41" s="36"/>
      <c r="EV41" s="36"/>
      <c r="EW41" s="36"/>
      <c r="EX41" s="36"/>
      <c r="EY41" s="36"/>
      <c r="EZ41" s="36"/>
      <c r="FA41" s="36"/>
      <c r="FB41" s="36"/>
      <c r="FC41" s="36"/>
      <c r="FD41" s="36"/>
      <c r="FE41" s="36"/>
      <c r="FF41" s="36"/>
      <c r="FG41" s="36"/>
      <c r="FH41" s="36"/>
      <c r="FI41" s="36"/>
      <c r="FK41" s="36"/>
      <c r="FL41" s="36"/>
      <c r="FM41" s="36"/>
      <c r="FN41" s="36"/>
      <c r="FO41" s="36"/>
      <c r="FP41" s="36"/>
      <c r="FQ41" s="36"/>
      <c r="FR41" s="36"/>
      <c r="FS41" s="36"/>
      <c r="FT41" s="36"/>
      <c r="FU41" s="36"/>
      <c r="FV41" s="36"/>
      <c r="FW41" s="36"/>
      <c r="FX41" s="36"/>
      <c r="FY41" s="36"/>
      <c r="FZ41" s="36"/>
      <c r="GA41" s="36"/>
      <c r="GB41" s="36"/>
      <c r="GC41" s="36"/>
      <c r="GD41" s="36"/>
      <c r="GE41" s="36"/>
      <c r="GF41" s="36"/>
      <c r="GG41" s="36"/>
      <c r="GH41" s="36"/>
      <c r="GI41" s="36"/>
      <c r="GJ41" s="36"/>
      <c r="GK41" s="36"/>
      <c r="GL41" s="36"/>
      <c r="GM41" s="36"/>
      <c r="GN41" s="36"/>
      <c r="GO41" s="36"/>
      <c r="GP41" s="36"/>
      <c r="GQ41" s="36" t="s">
        <v>527</v>
      </c>
      <c r="GR41" s="36"/>
      <c r="GS41" s="36"/>
      <c r="GT41" s="36"/>
      <c r="GU41" s="36"/>
      <c r="GV41" s="36"/>
      <c r="GW41" s="36"/>
      <c r="GX41" s="36"/>
      <c r="GY41" s="36"/>
      <c r="GZ41" s="36"/>
      <c r="HA41" s="36"/>
      <c r="HB41" s="36"/>
      <c r="HC41" s="36"/>
      <c r="HD41" s="36"/>
      <c r="HE41" s="36"/>
      <c r="HF41" s="36"/>
      <c r="HG41" s="36"/>
      <c r="HH41" s="36"/>
      <c r="HI41" s="36"/>
      <c r="HJ41" s="36"/>
      <c r="HK41" s="36"/>
      <c r="HL41" s="36"/>
      <c r="HM41" s="36"/>
      <c r="HN41" s="36"/>
      <c r="HO41" s="36"/>
      <c r="HP41" s="36"/>
      <c r="HQ41" s="36"/>
      <c r="HR41" s="36"/>
      <c r="HS41" s="36"/>
      <c r="HT41" s="36"/>
      <c r="HU41" s="36"/>
      <c r="HV41" s="36"/>
      <c r="HW41" s="36"/>
      <c r="HX41" s="36"/>
      <c r="HY41" s="36"/>
      <c r="HZ41" s="36"/>
      <c r="IA41" s="36"/>
      <c r="IB41" s="36"/>
      <c r="IC41" s="36"/>
      <c r="ID41" s="36"/>
      <c r="IE41" s="36"/>
      <c r="IF41" s="36"/>
      <c r="IG41" s="36"/>
      <c r="IH41" s="36"/>
      <c r="II41" s="36"/>
      <c r="IJ41" s="36"/>
      <c r="IK41" s="36"/>
      <c r="IL41" s="36"/>
      <c r="IM41" s="36"/>
      <c r="IN41" s="36"/>
      <c r="IO41" s="36"/>
      <c r="IP41" s="36"/>
      <c r="IQ41" s="36"/>
      <c r="IR41" s="36"/>
      <c r="IS41" s="36"/>
      <c r="IT41" s="36"/>
      <c r="IU41" s="36"/>
      <c r="IV41" s="36"/>
      <c r="IW41" s="36"/>
      <c r="IX41" s="36"/>
      <c r="IY41" s="36"/>
      <c r="IZ41" s="36"/>
      <c r="JA41" s="36"/>
      <c r="JB41" s="36"/>
      <c r="JC41" s="36"/>
      <c r="JD41" s="36"/>
      <c r="JE41" s="36"/>
      <c r="JF41" s="36"/>
      <c r="JG41" s="36"/>
      <c r="JH41" s="36"/>
      <c r="JI41" s="36"/>
      <c r="JJ41" s="36"/>
      <c r="JK41" s="36"/>
      <c r="JL41" s="36"/>
      <c r="JM41" s="36"/>
      <c r="JN41" s="36"/>
      <c r="JO41" s="36"/>
      <c r="JP41" s="36"/>
      <c r="JQ41" s="36"/>
      <c r="JR41" s="36"/>
      <c r="JS41" s="36"/>
      <c r="JT41" s="36"/>
      <c r="JU41" s="36"/>
      <c r="JV41" s="36"/>
      <c r="JW41" s="36"/>
      <c r="JX41" s="36"/>
      <c r="JY41" s="36"/>
      <c r="JZ41" s="36"/>
      <c r="KA41" s="36"/>
      <c r="KD41" s="15"/>
      <c r="KE41" s="51"/>
      <c r="KH41" s="15"/>
      <c r="KI41" s="15"/>
      <c r="KM41" s="56"/>
      <c r="KN41" s="56"/>
      <c r="KO41" s="56"/>
      <c r="KP41" s="56"/>
      <c r="KQ41" s="56"/>
      <c r="KR41" s="56"/>
      <c r="KS41" s="56"/>
      <c r="KT41" s="56"/>
      <c r="KU41" s="56"/>
      <c r="KV41" s="56"/>
      <c r="KW41" s="56"/>
    </row>
    <row r="42" spans="2:309">
      <c r="B42" s="49" t="s">
        <v>430</v>
      </c>
      <c r="C42" s="36" t="s">
        <v>427</v>
      </c>
      <c r="D42" s="36" t="s">
        <v>91</v>
      </c>
      <c r="E42" s="36" t="s">
        <v>454</v>
      </c>
      <c r="F42" s="36"/>
      <c r="G42" s="36"/>
      <c r="I42" s="38">
        <v>1005</v>
      </c>
      <c r="J42" s="38">
        <v>1033</v>
      </c>
      <c r="K42" s="36"/>
      <c r="L42" s="36"/>
      <c r="M42" s="36"/>
      <c r="N42" s="36"/>
      <c r="O42" s="38">
        <v>1005</v>
      </c>
      <c r="P42" s="38">
        <v>1033</v>
      </c>
      <c r="Q42" s="36"/>
      <c r="R42" s="36"/>
      <c r="S42" s="36"/>
      <c r="T42" s="36"/>
      <c r="U42" s="36"/>
      <c r="V42" s="36"/>
      <c r="W42" s="36"/>
      <c r="X42" s="36"/>
      <c r="Y42" s="36"/>
      <c r="Z42" s="36"/>
      <c r="AA42" s="36" t="s">
        <v>528</v>
      </c>
      <c r="AB42" s="36" t="s">
        <v>481</v>
      </c>
      <c r="AC42" s="36" t="s">
        <v>94</v>
      </c>
      <c r="AD42" s="36" t="s">
        <v>95</v>
      </c>
      <c r="AE42" s="51">
        <v>41715</v>
      </c>
      <c r="AF42" s="39">
        <v>1</v>
      </c>
      <c r="AG42" s="39">
        <v>100</v>
      </c>
      <c r="AH42" s="39">
        <v>1</v>
      </c>
      <c r="AI42" s="36"/>
      <c r="AJ42" s="39">
        <v>100</v>
      </c>
      <c r="AK42" s="36"/>
      <c r="AL42" s="36" t="s">
        <v>426</v>
      </c>
      <c r="AM42" s="50" t="s">
        <v>526</v>
      </c>
      <c r="AN42" s="36" t="s">
        <v>529</v>
      </c>
      <c r="AO42" s="36">
        <v>3</v>
      </c>
      <c r="AP42" s="36">
        <v>4</v>
      </c>
      <c r="AQ42" s="36">
        <v>5</v>
      </c>
      <c r="AR42" s="36">
        <v>6</v>
      </c>
      <c r="AS42" s="36">
        <v>7</v>
      </c>
      <c r="AT42" s="36">
        <v>8</v>
      </c>
      <c r="AU42" s="36">
        <v>9</v>
      </c>
      <c r="AV42" s="36">
        <v>10</v>
      </c>
      <c r="AW42" s="36">
        <v>11</v>
      </c>
      <c r="AX42" s="36">
        <v>12</v>
      </c>
      <c r="AY42" s="36">
        <v>13</v>
      </c>
      <c r="AZ42" s="36">
        <v>14</v>
      </c>
      <c r="BA42" s="36">
        <v>15</v>
      </c>
      <c r="BB42" s="36"/>
      <c r="BC42" s="36"/>
      <c r="BD42" s="36"/>
      <c r="BE42" s="36"/>
      <c r="BF42" s="36"/>
      <c r="BG42" s="36"/>
      <c r="BH42" s="36"/>
      <c r="BI42" s="64"/>
      <c r="BJ42" s="64"/>
      <c r="BK42" s="64"/>
      <c r="BL42" s="64"/>
      <c r="BM42" s="64"/>
      <c r="BN42" s="36"/>
      <c r="BO42" s="36"/>
      <c r="BP42" s="36"/>
      <c r="BQ42" s="36"/>
      <c r="BR42" s="36"/>
      <c r="BS42" s="36" t="s">
        <v>530</v>
      </c>
      <c r="BT42" s="36"/>
      <c r="BU42" s="36" t="s">
        <v>531</v>
      </c>
      <c r="BV42" s="36" t="s">
        <v>532</v>
      </c>
      <c r="BW42" s="36" t="s">
        <v>533</v>
      </c>
      <c r="BX42" s="36">
        <v>1000</v>
      </c>
      <c r="BY42" s="36"/>
      <c r="BZ42" s="36"/>
      <c r="CA42" s="36"/>
      <c r="CB42" s="36"/>
      <c r="CC42" s="36"/>
      <c r="CD42" s="1" t="s">
        <v>534</v>
      </c>
      <c r="CE42" s="1" t="s">
        <v>535</v>
      </c>
      <c r="CF42" s="1" t="s">
        <v>536</v>
      </c>
      <c r="CG42" s="1" t="s">
        <v>536</v>
      </c>
      <c r="CH42" s="1" t="s">
        <v>537</v>
      </c>
      <c r="CI42" s="18"/>
      <c r="CJ42" s="1"/>
      <c r="CK42" s="1"/>
      <c r="CL42" s="1"/>
      <c r="CM42" s="1"/>
      <c r="CN42" s="1"/>
      <c r="CO42" s="1"/>
      <c r="CP42" s="2"/>
      <c r="CQ42" s="1"/>
      <c r="CR42" s="1"/>
      <c r="CS42" s="1"/>
      <c r="CT42" s="36"/>
      <c r="CU42" s="36"/>
      <c r="CV42" s="36"/>
      <c r="CW42" s="18">
        <v>4</v>
      </c>
      <c r="CX42" s="36"/>
      <c r="CY42" s="36"/>
      <c r="CZ42" s="36"/>
      <c r="DA42" s="36"/>
      <c r="DB42" s="36"/>
      <c r="DC42" s="36"/>
      <c r="DD42" s="36"/>
      <c r="DE42" s="36"/>
      <c r="DF42" s="36"/>
      <c r="DG42" s="36"/>
      <c r="DH42" s="36"/>
      <c r="DI42" s="36"/>
      <c r="DJ42" s="36"/>
      <c r="DK42" s="36" t="s">
        <v>426</v>
      </c>
      <c r="DL42" s="50" t="s">
        <v>526</v>
      </c>
      <c r="DM42" s="36" t="s">
        <v>503</v>
      </c>
      <c r="DN42" s="36">
        <v>3</v>
      </c>
      <c r="DO42" s="36">
        <v>4</v>
      </c>
      <c r="DP42" s="34">
        <v>5</v>
      </c>
      <c r="DQ42" s="34">
        <v>6</v>
      </c>
      <c r="DR42" s="36">
        <v>7</v>
      </c>
      <c r="DS42" s="36">
        <v>8</v>
      </c>
      <c r="DT42" s="36">
        <v>9</v>
      </c>
      <c r="DU42" s="36">
        <v>10</v>
      </c>
      <c r="DV42" s="36">
        <v>11</v>
      </c>
      <c r="DW42" s="36">
        <v>12</v>
      </c>
      <c r="DX42" s="36">
        <v>13</v>
      </c>
      <c r="DY42" s="36">
        <v>14</v>
      </c>
      <c r="DZ42" s="36">
        <v>15</v>
      </c>
      <c r="EA42" s="36"/>
      <c r="EB42" s="36"/>
      <c r="EC42" s="36"/>
      <c r="ED42" s="36"/>
      <c r="EE42" s="36"/>
      <c r="EF42" s="36"/>
      <c r="EG42" s="36"/>
      <c r="EH42" s="36"/>
      <c r="EI42" s="36"/>
      <c r="EJ42" s="36"/>
      <c r="EK42" s="36"/>
      <c r="EL42" s="36"/>
      <c r="EM42" s="36"/>
      <c r="EN42" s="36"/>
      <c r="EO42" s="36"/>
      <c r="EP42" s="36"/>
      <c r="EQ42" s="36"/>
      <c r="ER42" s="36"/>
      <c r="ES42" s="36"/>
      <c r="ET42" s="36"/>
      <c r="EU42" s="36"/>
      <c r="EV42" s="36"/>
      <c r="EW42" s="36"/>
      <c r="EX42" s="36"/>
      <c r="EY42" s="36"/>
      <c r="EZ42" s="36"/>
      <c r="FA42" s="36"/>
      <c r="FB42" s="36"/>
      <c r="FC42" s="36"/>
      <c r="FD42" s="36"/>
      <c r="FE42" s="36"/>
      <c r="FF42" s="36"/>
      <c r="FG42" s="36"/>
      <c r="FH42" s="36"/>
      <c r="FI42" s="36"/>
      <c r="FJ42" s="36"/>
      <c r="FK42" s="36"/>
      <c r="FL42" s="36"/>
      <c r="FM42" s="36"/>
      <c r="FN42" s="36"/>
      <c r="FO42" s="36"/>
      <c r="FP42" s="36"/>
      <c r="FQ42" s="36"/>
      <c r="FR42" s="36"/>
      <c r="FS42" s="36"/>
      <c r="FT42" s="36"/>
      <c r="FU42" s="36"/>
      <c r="FV42" s="36"/>
      <c r="FW42" s="36"/>
      <c r="FX42" s="36"/>
      <c r="FY42" s="36"/>
      <c r="FZ42" s="36"/>
      <c r="GA42" s="36"/>
      <c r="GB42" s="36"/>
      <c r="GC42" s="36"/>
      <c r="GD42" s="36"/>
      <c r="GE42" s="36"/>
      <c r="GF42" s="36"/>
      <c r="GG42" s="36"/>
      <c r="GH42" s="36"/>
      <c r="GI42" s="36"/>
      <c r="GJ42" s="36"/>
      <c r="GK42" s="36"/>
      <c r="GL42" s="36"/>
      <c r="GM42" s="36"/>
      <c r="GN42" s="36"/>
      <c r="GO42" s="36"/>
      <c r="GP42" s="36"/>
      <c r="GQ42" s="36"/>
      <c r="GR42" s="36"/>
      <c r="GS42" s="36"/>
      <c r="GT42" s="36"/>
      <c r="GU42" s="36"/>
      <c r="GV42" s="36"/>
      <c r="GW42" s="36"/>
      <c r="GX42" s="36"/>
      <c r="GY42" s="36"/>
      <c r="GZ42" s="36"/>
      <c r="HA42" s="36"/>
      <c r="HB42" s="36"/>
      <c r="HC42" s="36"/>
      <c r="HD42" s="36"/>
      <c r="HE42" s="36"/>
      <c r="HF42" s="36"/>
      <c r="HG42" s="36"/>
      <c r="HH42" s="36"/>
      <c r="HI42" s="36"/>
      <c r="HJ42" s="36"/>
      <c r="HK42" s="36"/>
      <c r="HL42" s="36"/>
      <c r="HM42" s="36"/>
      <c r="HN42" s="36"/>
      <c r="HO42" s="36"/>
      <c r="HP42" s="36"/>
      <c r="HQ42" s="36"/>
      <c r="HR42" s="36"/>
      <c r="HS42" s="36"/>
      <c r="HT42" s="36"/>
      <c r="HU42" s="36"/>
      <c r="HV42" s="36"/>
      <c r="HW42" s="36"/>
      <c r="HX42" s="36"/>
      <c r="HY42" s="36"/>
      <c r="HZ42" s="36"/>
      <c r="IA42" s="36"/>
      <c r="IB42" s="36"/>
      <c r="IC42" s="36"/>
      <c r="ID42" s="36"/>
      <c r="IE42" s="36"/>
      <c r="IF42" s="36"/>
      <c r="IG42" s="36"/>
      <c r="IH42" s="36"/>
      <c r="II42" s="36"/>
      <c r="IJ42" s="36"/>
      <c r="IK42" s="36"/>
      <c r="IL42" s="36"/>
      <c r="IM42" s="36"/>
      <c r="IN42" s="36"/>
      <c r="IO42" s="36"/>
      <c r="IP42" s="36"/>
      <c r="IQ42" s="36"/>
      <c r="IR42" s="36"/>
      <c r="IS42" s="36"/>
      <c r="IT42" s="36"/>
      <c r="IU42" s="36"/>
      <c r="IV42" s="36"/>
      <c r="IW42" s="36"/>
      <c r="IX42" s="36"/>
      <c r="IY42" s="36"/>
      <c r="IZ42" s="36"/>
      <c r="JA42" s="36"/>
      <c r="JB42" s="36"/>
      <c r="JC42" s="36"/>
      <c r="JD42" s="36"/>
      <c r="JE42" s="36"/>
      <c r="JF42" s="36"/>
      <c r="JG42" s="36"/>
      <c r="JH42" s="36"/>
      <c r="JI42" s="36"/>
      <c r="JJ42" s="36"/>
      <c r="JK42" s="36"/>
      <c r="JL42" s="36"/>
      <c r="JM42" s="36"/>
      <c r="JN42" s="36"/>
      <c r="JO42" s="36"/>
      <c r="JP42" s="36"/>
      <c r="JQ42" s="36"/>
      <c r="JR42" s="36"/>
      <c r="JS42" s="36"/>
      <c r="JT42" s="36"/>
      <c r="JU42" s="36"/>
      <c r="JV42" s="36"/>
      <c r="JW42" s="36"/>
      <c r="JX42" s="36"/>
      <c r="JY42" s="36"/>
      <c r="JZ42" s="36"/>
      <c r="KA42" s="36"/>
      <c r="KD42" s="15"/>
      <c r="KE42" s="51"/>
      <c r="KH42" s="15"/>
      <c r="KI42" s="15"/>
      <c r="KM42" s="56"/>
      <c r="KN42" s="56"/>
      <c r="KO42" s="56"/>
      <c r="KP42" s="56"/>
      <c r="KQ42" s="56"/>
      <c r="KR42" s="56"/>
      <c r="KS42" s="56"/>
      <c r="KT42" s="56"/>
      <c r="KU42" s="56"/>
      <c r="KV42" s="56"/>
      <c r="KW42" s="56"/>
    </row>
    <row r="43" spans="2:309">
      <c r="B43" s="49" t="s">
        <v>430</v>
      </c>
      <c r="C43" s="36" t="s">
        <v>427</v>
      </c>
      <c r="D43" s="36" t="s">
        <v>91</v>
      </c>
      <c r="E43" s="36" t="s">
        <v>454</v>
      </c>
      <c r="F43" s="62"/>
      <c r="G43" s="62"/>
      <c r="H43" s="50" t="s">
        <v>538</v>
      </c>
      <c r="I43" s="38">
        <v>1005</v>
      </c>
      <c r="J43" s="38">
        <v>1033</v>
      </c>
      <c r="K43" s="38"/>
      <c r="L43" s="36"/>
      <c r="M43" s="36"/>
      <c r="N43" s="38"/>
      <c r="O43" s="38">
        <v>1005</v>
      </c>
      <c r="P43" s="38">
        <v>1033</v>
      </c>
      <c r="Q43" s="38"/>
      <c r="R43" s="38"/>
      <c r="S43" s="38"/>
      <c r="T43" s="38"/>
      <c r="U43" s="38"/>
      <c r="V43" s="38"/>
      <c r="W43" s="38"/>
      <c r="X43" s="38"/>
      <c r="Y43" s="38"/>
      <c r="Z43" s="38"/>
      <c r="AA43" s="36" t="s">
        <v>92</v>
      </c>
      <c r="AB43" s="36" t="s">
        <v>502</v>
      </c>
      <c r="AC43" s="36" t="s">
        <v>94</v>
      </c>
      <c r="AD43" s="36" t="s">
        <v>95</v>
      </c>
      <c r="AE43" s="51">
        <v>41715</v>
      </c>
      <c r="AF43" s="39">
        <v>1</v>
      </c>
      <c r="AG43" s="39">
        <v>100</v>
      </c>
      <c r="AH43" s="39">
        <v>1</v>
      </c>
      <c r="AI43" s="39"/>
      <c r="AJ43" s="39">
        <v>100</v>
      </c>
      <c r="AK43" s="39"/>
      <c r="AL43" s="36" t="s">
        <v>426</v>
      </c>
      <c r="AM43" s="50" t="s">
        <v>538</v>
      </c>
      <c r="AN43" s="36" t="s">
        <v>503</v>
      </c>
      <c r="AO43" s="36">
        <v>3</v>
      </c>
      <c r="AP43" s="36">
        <v>4</v>
      </c>
      <c r="AQ43" s="36">
        <v>5</v>
      </c>
      <c r="AR43" s="36">
        <v>6</v>
      </c>
      <c r="AS43" s="36">
        <v>7</v>
      </c>
      <c r="AT43" s="36">
        <v>8</v>
      </c>
      <c r="AU43" s="36">
        <v>9</v>
      </c>
      <c r="AV43" s="36">
        <v>10</v>
      </c>
      <c r="AW43" s="36">
        <v>11</v>
      </c>
      <c r="AX43" s="36">
        <v>12</v>
      </c>
      <c r="AY43" s="36">
        <v>13</v>
      </c>
      <c r="AZ43" s="36">
        <v>14</v>
      </c>
      <c r="BA43" s="36">
        <v>15</v>
      </c>
      <c r="BB43" s="36"/>
      <c r="BC43" s="36" t="s">
        <v>97</v>
      </c>
      <c r="BD43" s="63"/>
      <c r="BE43" s="39"/>
      <c r="BF43" s="36"/>
      <c r="BG43" s="62"/>
      <c r="BH43" s="62"/>
      <c r="BI43" s="64"/>
      <c r="BJ43" s="64" t="s">
        <v>98</v>
      </c>
      <c r="BK43" s="64"/>
      <c r="BL43" s="64"/>
      <c r="BM43" s="64"/>
      <c r="BN43" s="62"/>
      <c r="BO43" s="62"/>
      <c r="BP43" s="62"/>
      <c r="BQ43" s="34"/>
      <c r="BR43" s="36"/>
      <c r="BS43" s="36"/>
      <c r="BT43" s="36"/>
      <c r="BU43" s="36"/>
      <c r="BV43" s="36"/>
      <c r="BW43" s="39"/>
      <c r="BX43" s="36"/>
      <c r="BY43" s="36"/>
      <c r="BZ43" s="36"/>
      <c r="CA43" s="36"/>
      <c r="CB43" s="62"/>
      <c r="CC43" s="36"/>
      <c r="CD43" s="36"/>
      <c r="CE43" s="36"/>
      <c r="CF43" s="36"/>
      <c r="CG43" s="36"/>
      <c r="CH43" s="39"/>
      <c r="CI43" s="36"/>
      <c r="CJ43" s="36"/>
      <c r="CK43" s="36"/>
      <c r="CL43" s="36"/>
      <c r="CM43" s="36"/>
      <c r="CN43" s="36"/>
      <c r="CO43" s="34"/>
      <c r="CP43" s="36"/>
      <c r="CQ43" s="36"/>
      <c r="CR43" s="36"/>
      <c r="CS43" s="39"/>
      <c r="CT43" s="36"/>
      <c r="CU43" s="36"/>
      <c r="CV43" s="36"/>
      <c r="CW43" s="36"/>
      <c r="CX43" s="36"/>
      <c r="CY43" s="34"/>
      <c r="CZ43" s="36"/>
      <c r="DA43" s="36"/>
      <c r="DB43" s="62"/>
      <c r="DC43" s="36"/>
      <c r="DD43" s="36"/>
      <c r="DE43" s="34"/>
      <c r="DF43" s="36"/>
      <c r="DG43" s="36"/>
      <c r="DH43" s="36"/>
      <c r="DI43" s="36"/>
      <c r="DJ43" s="36"/>
      <c r="DK43" s="36"/>
      <c r="DL43" s="34"/>
      <c r="DM43" s="34"/>
      <c r="DN43" s="36"/>
      <c r="DO43" s="36"/>
      <c r="DP43" s="36"/>
      <c r="DQ43" s="36"/>
      <c r="DR43" s="36"/>
      <c r="DS43" s="36"/>
      <c r="DT43" s="36"/>
      <c r="DU43" s="36"/>
      <c r="DV43" s="36"/>
      <c r="DW43" s="36"/>
      <c r="DX43" s="36"/>
      <c r="DY43" s="36"/>
      <c r="DZ43" s="36"/>
      <c r="EA43" s="36"/>
      <c r="EB43" s="36"/>
      <c r="EC43" s="36"/>
      <c r="ED43" s="36"/>
      <c r="EE43" s="36"/>
      <c r="EF43" s="36"/>
      <c r="EG43" s="36"/>
      <c r="EH43" s="36"/>
      <c r="EI43" s="36"/>
      <c r="EJ43" s="36"/>
      <c r="EK43" s="36"/>
      <c r="EL43" s="36"/>
      <c r="EM43" s="36"/>
      <c r="EN43" s="36"/>
      <c r="EO43" s="36"/>
      <c r="EP43" s="36"/>
      <c r="EQ43" s="36"/>
      <c r="ER43" s="36"/>
      <c r="ES43" s="36"/>
      <c r="ET43" s="36"/>
      <c r="EU43" s="36"/>
      <c r="EV43" s="36"/>
      <c r="EW43" s="36"/>
      <c r="EX43" s="36"/>
      <c r="EY43" s="36"/>
      <c r="EZ43" s="36"/>
      <c r="FA43" s="36"/>
      <c r="FB43" s="36"/>
      <c r="FC43" s="36"/>
      <c r="FD43" s="36"/>
      <c r="FE43" s="36"/>
      <c r="FF43" s="36"/>
      <c r="FG43" s="36"/>
      <c r="FH43" s="36"/>
      <c r="FI43" s="36"/>
      <c r="FJ43" s="36"/>
      <c r="FK43" s="36"/>
      <c r="FL43" s="36"/>
      <c r="FM43" s="36"/>
      <c r="FN43" s="36"/>
      <c r="FO43" s="36"/>
      <c r="FP43" s="36"/>
      <c r="FQ43" s="36"/>
      <c r="FR43" s="36"/>
      <c r="FS43" s="36"/>
      <c r="FT43" s="36"/>
      <c r="FU43" s="36"/>
      <c r="FV43" s="36"/>
      <c r="FW43" s="36"/>
      <c r="FX43" s="36"/>
      <c r="FY43" s="36"/>
      <c r="FZ43" s="36"/>
      <c r="GA43" s="36"/>
      <c r="GB43" s="36"/>
      <c r="GC43" s="36"/>
      <c r="GD43" s="36"/>
      <c r="GE43" s="36"/>
      <c r="GF43" s="36"/>
      <c r="GG43" s="36"/>
      <c r="GH43" s="39"/>
      <c r="GI43" s="34"/>
      <c r="GJ43" s="62"/>
      <c r="GK43" s="36"/>
      <c r="GL43" s="36"/>
      <c r="GM43" s="36"/>
      <c r="GN43" s="36"/>
      <c r="GO43" s="36"/>
      <c r="GP43" s="62"/>
      <c r="GQ43" s="36"/>
      <c r="GR43" s="36"/>
      <c r="GS43" s="36"/>
      <c r="GT43" s="36"/>
      <c r="GU43" s="36"/>
      <c r="GV43" s="36"/>
      <c r="GW43" s="36"/>
      <c r="GX43" s="36"/>
      <c r="GY43" s="36"/>
      <c r="GZ43" s="36"/>
      <c r="HA43" s="36"/>
      <c r="HB43" s="36"/>
      <c r="HC43" s="36"/>
      <c r="HD43" s="36"/>
      <c r="HE43" s="36"/>
      <c r="HF43" s="36"/>
      <c r="HG43" s="36"/>
      <c r="HH43" s="36"/>
      <c r="HI43" s="36"/>
      <c r="HJ43" s="36"/>
      <c r="HK43" s="36"/>
      <c r="HL43" s="36"/>
      <c r="HM43" s="36"/>
      <c r="HN43" s="36"/>
      <c r="HO43" s="36"/>
      <c r="HP43" s="36"/>
      <c r="HQ43" s="36"/>
      <c r="HR43" s="36"/>
      <c r="HS43" s="36"/>
      <c r="HT43" s="36"/>
      <c r="HU43" s="36"/>
      <c r="HV43" s="36"/>
      <c r="HW43" s="36"/>
      <c r="HX43" s="36"/>
      <c r="HY43" s="36"/>
      <c r="HZ43" s="36"/>
      <c r="IA43" s="36"/>
      <c r="IB43" s="36"/>
      <c r="IC43" s="36"/>
      <c r="ID43" s="36"/>
      <c r="IE43" s="36"/>
      <c r="IF43" s="36"/>
      <c r="IG43" s="36"/>
      <c r="IH43" s="36"/>
      <c r="II43" s="36"/>
      <c r="IJ43" s="36"/>
      <c r="IK43" s="36"/>
      <c r="IL43" s="36"/>
      <c r="IM43" s="36"/>
      <c r="IN43" s="36"/>
      <c r="IO43" s="36"/>
      <c r="IP43" s="36"/>
      <c r="IQ43" s="36"/>
      <c r="IR43" s="36"/>
      <c r="IS43" s="36"/>
      <c r="IT43" s="36"/>
      <c r="IU43" s="36"/>
      <c r="IV43" s="36"/>
      <c r="IW43" s="36"/>
      <c r="IX43" s="36"/>
      <c r="IY43" s="36"/>
      <c r="IZ43" s="36"/>
      <c r="JA43" s="36"/>
      <c r="JB43" s="36"/>
      <c r="JC43" s="36"/>
      <c r="JD43" s="36"/>
      <c r="JE43" s="36"/>
      <c r="JF43" s="36"/>
      <c r="JG43" s="36"/>
      <c r="JH43" s="36"/>
      <c r="JI43" s="36"/>
      <c r="JJ43" s="36"/>
      <c r="JK43" s="36"/>
      <c r="JL43" s="36"/>
      <c r="JM43" s="36"/>
      <c r="JN43" s="36"/>
      <c r="JO43" s="36"/>
      <c r="JP43" s="36"/>
      <c r="JQ43" s="36"/>
      <c r="JR43" s="36"/>
      <c r="JS43" s="36"/>
      <c r="JT43" s="36"/>
      <c r="JU43" s="36"/>
      <c r="JV43" s="36"/>
      <c r="JW43" s="36"/>
      <c r="JX43" s="36"/>
      <c r="JY43" s="36"/>
      <c r="JZ43" s="36"/>
      <c r="KA43" s="36"/>
      <c r="KD43" s="15"/>
      <c r="KE43" s="51"/>
      <c r="KH43" s="15"/>
      <c r="KI43" s="15"/>
      <c r="KM43" s="56"/>
      <c r="KN43" s="56"/>
      <c r="KO43" s="56"/>
      <c r="KP43" s="56"/>
      <c r="KQ43" s="56"/>
      <c r="KR43" s="56"/>
      <c r="KS43" s="56"/>
      <c r="KT43" s="56"/>
      <c r="KU43" s="56"/>
      <c r="KV43" s="56"/>
      <c r="KW43" s="56"/>
    </row>
    <row r="44" spans="2:309">
      <c r="B44" s="49" t="s">
        <v>430</v>
      </c>
      <c r="C44" s="36" t="s">
        <v>427</v>
      </c>
      <c r="D44" s="36" t="s">
        <v>91</v>
      </c>
      <c r="E44" s="36" t="s">
        <v>454</v>
      </c>
      <c r="F44" s="51">
        <v>41715</v>
      </c>
      <c r="G44" s="51">
        <v>41715</v>
      </c>
      <c r="H44" s="50" t="s">
        <v>539</v>
      </c>
      <c r="I44" s="38">
        <v>1005</v>
      </c>
      <c r="J44" s="38">
        <v>1033</v>
      </c>
      <c r="K44" s="38"/>
      <c r="L44" s="36"/>
      <c r="M44" s="36"/>
      <c r="N44" s="38"/>
      <c r="O44" s="38">
        <v>1005</v>
      </c>
      <c r="P44" s="38">
        <v>1033</v>
      </c>
      <c r="Q44" s="38"/>
      <c r="R44" s="38"/>
      <c r="S44" s="38"/>
      <c r="T44" s="38"/>
      <c r="U44" s="38"/>
      <c r="V44" s="38"/>
      <c r="W44" s="38"/>
      <c r="X44" s="38"/>
      <c r="Y44" s="38"/>
      <c r="Z44" s="38"/>
      <c r="AA44" s="36" t="s">
        <v>92</v>
      </c>
      <c r="AB44" s="36" t="s">
        <v>540</v>
      </c>
      <c r="AC44" s="36" t="s">
        <v>541</v>
      </c>
      <c r="AD44" s="1" t="s">
        <v>542</v>
      </c>
      <c r="AE44" s="51">
        <v>41715</v>
      </c>
      <c r="AF44" s="39">
        <v>1.35</v>
      </c>
      <c r="AG44" s="39">
        <v>100</v>
      </c>
      <c r="AH44" s="39">
        <v>1</v>
      </c>
      <c r="AI44" s="39"/>
      <c r="AJ44" s="39">
        <v>100</v>
      </c>
      <c r="AK44" s="39"/>
      <c r="AL44" s="36" t="s">
        <v>426</v>
      </c>
      <c r="AM44" s="50" t="s">
        <v>539</v>
      </c>
      <c r="AN44" s="36" t="s">
        <v>503</v>
      </c>
      <c r="AO44" s="36">
        <v>3</v>
      </c>
      <c r="AP44" s="36">
        <v>4</v>
      </c>
      <c r="AQ44" s="36">
        <v>5</v>
      </c>
      <c r="AR44" s="36">
        <v>6</v>
      </c>
      <c r="AS44" s="36">
        <v>7</v>
      </c>
      <c r="AT44" s="36">
        <v>8</v>
      </c>
      <c r="AU44" s="36">
        <v>9</v>
      </c>
      <c r="AV44" s="36">
        <v>10</v>
      </c>
      <c r="AW44" s="36">
        <v>11</v>
      </c>
      <c r="AX44" s="36">
        <v>12</v>
      </c>
      <c r="AY44" s="36">
        <v>13</v>
      </c>
      <c r="AZ44" s="36">
        <v>14</v>
      </c>
      <c r="BA44" s="36">
        <v>15</v>
      </c>
      <c r="BB44" s="36"/>
      <c r="BC44" s="36"/>
      <c r="BD44" s="63"/>
      <c r="BE44" s="39"/>
      <c r="BF44" s="36"/>
      <c r="BG44" s="62"/>
      <c r="BH44" s="62"/>
      <c r="BI44" s="64"/>
      <c r="BJ44" s="64" t="s">
        <v>98</v>
      </c>
      <c r="BK44" s="64"/>
      <c r="BL44" s="64"/>
      <c r="BM44" s="64"/>
      <c r="BN44" s="62"/>
      <c r="BO44" s="62"/>
      <c r="BP44" s="36"/>
      <c r="BQ44" s="34"/>
      <c r="BR44" s="36"/>
      <c r="BS44" s="36"/>
      <c r="BT44" s="36"/>
      <c r="BU44" s="36"/>
      <c r="BV44" s="36"/>
      <c r="BW44" s="39"/>
      <c r="BX44" s="36"/>
      <c r="BY44" s="36"/>
      <c r="BZ44" s="36"/>
      <c r="CA44" s="36"/>
      <c r="CB44" s="62"/>
      <c r="CC44" s="36"/>
      <c r="CD44" s="36"/>
      <c r="CE44" s="36"/>
      <c r="CF44" s="36"/>
      <c r="CG44" s="36"/>
      <c r="CH44" s="39"/>
      <c r="CI44" s="36"/>
      <c r="CJ44" s="36"/>
      <c r="CK44" s="36"/>
      <c r="CL44" s="36"/>
      <c r="CM44" s="36"/>
      <c r="CN44" s="36"/>
      <c r="CO44" s="34"/>
      <c r="CP44" s="36"/>
      <c r="CQ44" s="36"/>
      <c r="CR44" s="36"/>
      <c r="CS44" s="39"/>
      <c r="CT44" s="36"/>
      <c r="CU44" s="36"/>
      <c r="CV44" s="36"/>
      <c r="CW44" s="36"/>
      <c r="CX44" s="36"/>
      <c r="CY44" s="34"/>
      <c r="CZ44" s="36"/>
      <c r="DA44" s="36"/>
      <c r="DB44" s="62"/>
      <c r="DC44" s="36"/>
      <c r="DD44" s="36"/>
      <c r="DE44" s="34"/>
      <c r="DF44" s="36"/>
      <c r="DG44" s="36"/>
      <c r="DH44" s="36"/>
      <c r="DI44" s="36"/>
      <c r="DJ44" s="36"/>
      <c r="DK44" s="36"/>
      <c r="DL44" s="34"/>
      <c r="DM44" s="34"/>
      <c r="DN44" s="36"/>
      <c r="DO44" s="36"/>
      <c r="DP44" s="36"/>
      <c r="DQ44" s="36"/>
      <c r="DR44" s="36"/>
      <c r="DS44" s="36"/>
      <c r="DT44" s="36"/>
      <c r="DU44" s="36"/>
      <c r="DV44" s="36"/>
      <c r="DW44" s="36"/>
      <c r="DX44" s="36"/>
      <c r="DY44" s="36"/>
      <c r="DZ44" s="36"/>
      <c r="EA44" s="36"/>
      <c r="EB44" s="36"/>
      <c r="EC44" s="36"/>
      <c r="ED44" s="36"/>
      <c r="EE44" s="36"/>
      <c r="EF44" s="36"/>
      <c r="EG44" s="36"/>
      <c r="EH44" s="36"/>
      <c r="EI44" s="36"/>
      <c r="EJ44" s="36"/>
      <c r="EK44" s="36"/>
      <c r="EL44" s="36"/>
      <c r="EM44" s="36"/>
      <c r="EN44" s="36"/>
      <c r="EO44" s="36"/>
      <c r="EP44" s="36"/>
      <c r="EQ44" s="36"/>
      <c r="ER44" s="36"/>
      <c r="ES44" s="36"/>
      <c r="ET44" s="36"/>
      <c r="EU44" s="36"/>
      <c r="EV44" s="36"/>
      <c r="EW44" s="36"/>
      <c r="EX44" s="36"/>
      <c r="EY44" s="36"/>
      <c r="EZ44" s="36"/>
      <c r="FA44" s="36"/>
      <c r="FB44" s="36"/>
      <c r="FC44" s="36"/>
      <c r="FD44" s="36"/>
      <c r="FE44" s="36"/>
      <c r="FF44" s="36"/>
      <c r="FG44" s="36"/>
      <c r="FH44" s="36"/>
      <c r="FI44" s="36" t="s">
        <v>427</v>
      </c>
      <c r="FJ44" s="50" t="s">
        <v>499</v>
      </c>
      <c r="FK44" s="36"/>
      <c r="FL44" s="36"/>
      <c r="FM44" s="36"/>
      <c r="FN44" s="36"/>
      <c r="FO44" s="36"/>
      <c r="FP44" s="36"/>
      <c r="FQ44" s="36"/>
      <c r="FR44" s="36"/>
      <c r="FS44" s="36"/>
      <c r="FT44" s="36"/>
      <c r="FU44" s="36"/>
      <c r="FV44" s="36"/>
      <c r="FW44" s="36"/>
      <c r="FX44" s="36"/>
      <c r="FY44" s="36"/>
      <c r="FZ44" s="36"/>
      <c r="GA44" s="36"/>
      <c r="GB44" s="36"/>
      <c r="GC44" s="36"/>
      <c r="GD44" s="36"/>
      <c r="GE44" s="36"/>
      <c r="GF44" s="36"/>
      <c r="GG44" s="36"/>
      <c r="GH44" s="39"/>
      <c r="GI44" s="34"/>
      <c r="GJ44" s="62"/>
      <c r="GK44" s="36"/>
      <c r="GL44" s="36"/>
      <c r="GM44" s="36"/>
      <c r="GN44" s="36"/>
      <c r="GO44" s="36"/>
      <c r="GP44" s="62"/>
      <c r="GQ44" s="36" t="s">
        <v>527</v>
      </c>
      <c r="GR44" s="36"/>
      <c r="GS44" s="36"/>
      <c r="GT44" s="36"/>
      <c r="GU44" s="36"/>
      <c r="GV44" s="36"/>
      <c r="GW44" s="36"/>
      <c r="GX44" s="36"/>
      <c r="GY44" s="36"/>
      <c r="GZ44" s="36"/>
      <c r="HA44" s="36"/>
      <c r="HB44" s="36"/>
      <c r="HC44" s="36"/>
      <c r="HD44" s="36"/>
      <c r="HE44" s="36"/>
      <c r="HF44" s="36"/>
      <c r="HG44" s="36"/>
      <c r="HH44" s="36"/>
      <c r="HI44" s="36"/>
      <c r="HJ44" s="36"/>
      <c r="HK44" s="36"/>
      <c r="HL44" s="36"/>
      <c r="HM44" s="36"/>
      <c r="HN44" s="36"/>
      <c r="HO44" s="36"/>
      <c r="HP44" s="36"/>
      <c r="HQ44" s="36"/>
      <c r="HR44" s="36"/>
      <c r="HS44" s="36"/>
      <c r="HT44" s="36"/>
      <c r="HU44" s="36"/>
      <c r="HV44" s="36"/>
      <c r="HW44" s="36"/>
      <c r="HX44" s="36"/>
      <c r="HY44" s="36"/>
      <c r="HZ44" s="36"/>
      <c r="IA44" s="36"/>
      <c r="IB44" s="36"/>
      <c r="IC44" s="36"/>
      <c r="ID44" s="36"/>
      <c r="IE44" s="36"/>
      <c r="IF44" s="36"/>
      <c r="IG44" s="36"/>
      <c r="IH44" s="36"/>
      <c r="II44" s="36"/>
      <c r="IJ44" s="36"/>
      <c r="IK44" s="36"/>
      <c r="IL44" s="36"/>
      <c r="IM44" s="36"/>
      <c r="IN44" s="36"/>
      <c r="IO44" s="36"/>
      <c r="IP44" s="36"/>
      <c r="IQ44" s="36"/>
      <c r="IR44" s="36"/>
      <c r="IS44" s="36"/>
      <c r="IT44" s="36"/>
      <c r="IU44" s="36"/>
      <c r="IV44" s="36"/>
      <c r="IW44" s="36"/>
      <c r="IX44" s="36"/>
      <c r="IY44" s="36"/>
      <c r="IZ44" s="36"/>
      <c r="JA44" s="36"/>
      <c r="JB44" s="36"/>
      <c r="JC44" s="36"/>
      <c r="JD44" s="36"/>
      <c r="JE44" s="36"/>
      <c r="JF44" s="36"/>
      <c r="JG44" s="36"/>
      <c r="JH44" s="36"/>
      <c r="JI44" s="36"/>
      <c r="JJ44" s="36"/>
      <c r="JK44" s="36"/>
      <c r="JL44" s="36"/>
      <c r="JM44" s="36"/>
      <c r="JN44" s="36"/>
      <c r="JO44" s="36"/>
      <c r="JP44" s="36"/>
      <c r="JQ44" s="36"/>
      <c r="JR44" s="36"/>
      <c r="JS44" s="36"/>
      <c r="JT44" s="36"/>
      <c r="JU44" s="36"/>
      <c r="JV44" s="36"/>
      <c r="JW44" s="36"/>
      <c r="JX44" s="36"/>
      <c r="JY44" s="36"/>
      <c r="JZ44" s="36"/>
      <c r="KA44" s="36"/>
      <c r="KD44" s="15"/>
      <c r="KE44" s="51"/>
      <c r="KH44" s="15"/>
      <c r="KI44" s="15"/>
      <c r="KM44" s="56"/>
      <c r="KN44" s="56"/>
      <c r="KO44" s="56"/>
      <c r="KP44" s="56"/>
      <c r="KQ44" s="56"/>
      <c r="KR44" s="56"/>
      <c r="KS44" s="56"/>
      <c r="KT44" s="56"/>
      <c r="KU44" s="56"/>
      <c r="KV44" s="56"/>
      <c r="KW44" s="56"/>
    </row>
    <row r="45" spans="2:309">
      <c r="B45" s="49" t="s">
        <v>430</v>
      </c>
      <c r="C45" s="36" t="s">
        <v>427</v>
      </c>
      <c r="D45" s="36" t="s">
        <v>91</v>
      </c>
      <c r="E45" s="36" t="s">
        <v>454</v>
      </c>
      <c r="F45" s="51">
        <v>41715</v>
      </c>
      <c r="G45" s="51">
        <v>41715</v>
      </c>
      <c r="H45" s="50" t="s">
        <v>543</v>
      </c>
      <c r="I45" s="38">
        <v>1005</v>
      </c>
      <c r="J45" s="38">
        <v>1033</v>
      </c>
      <c r="K45" s="38"/>
      <c r="L45" s="36"/>
      <c r="M45" s="36"/>
      <c r="N45" s="38"/>
      <c r="O45" s="38">
        <v>1005</v>
      </c>
      <c r="P45" s="38">
        <v>1033</v>
      </c>
      <c r="Q45" s="38"/>
      <c r="R45" s="38"/>
      <c r="S45" s="38"/>
      <c r="T45" s="38"/>
      <c r="U45" s="38"/>
      <c r="V45" s="38"/>
      <c r="W45" s="38"/>
      <c r="X45" s="38"/>
      <c r="Y45" s="38"/>
      <c r="Z45" s="38"/>
      <c r="AA45" s="36" t="s">
        <v>92</v>
      </c>
      <c r="AB45" s="36" t="s">
        <v>540</v>
      </c>
      <c r="AC45" s="36" t="s">
        <v>541</v>
      </c>
      <c r="AD45" s="36" t="s">
        <v>95</v>
      </c>
      <c r="AE45" s="51">
        <v>41715</v>
      </c>
      <c r="AF45" s="39">
        <v>1.35</v>
      </c>
      <c r="AG45" s="39">
        <v>100</v>
      </c>
      <c r="AH45" s="39">
        <v>1</v>
      </c>
      <c r="AI45" s="39"/>
      <c r="AJ45" s="39">
        <v>100</v>
      </c>
      <c r="AK45" s="39"/>
      <c r="AL45" s="36" t="s">
        <v>426</v>
      </c>
      <c r="AM45" s="50" t="s">
        <v>543</v>
      </c>
      <c r="AN45" s="36" t="s">
        <v>503</v>
      </c>
      <c r="AO45" s="36">
        <v>3</v>
      </c>
      <c r="AP45" s="36">
        <v>4</v>
      </c>
      <c r="AQ45" s="36">
        <v>5</v>
      </c>
      <c r="AR45" s="36">
        <v>6</v>
      </c>
      <c r="AS45" s="36">
        <v>7</v>
      </c>
      <c r="AT45" s="36">
        <v>8</v>
      </c>
      <c r="AU45" s="36">
        <v>9</v>
      </c>
      <c r="AV45" s="36">
        <v>10</v>
      </c>
      <c r="AW45" s="36">
        <v>11</v>
      </c>
      <c r="AX45" s="36">
        <v>12</v>
      </c>
      <c r="AY45" s="36">
        <v>13</v>
      </c>
      <c r="AZ45" s="36">
        <v>14</v>
      </c>
      <c r="BA45" s="36">
        <v>15</v>
      </c>
      <c r="BB45" s="36"/>
      <c r="BC45" s="36" t="s">
        <v>97</v>
      </c>
      <c r="BD45" s="63"/>
      <c r="BE45" s="39"/>
      <c r="BF45" s="36"/>
      <c r="BG45" s="62"/>
      <c r="BH45" s="62"/>
      <c r="BI45" s="64"/>
      <c r="BJ45" s="64" t="s">
        <v>98</v>
      </c>
      <c r="BK45" s="64"/>
      <c r="BL45" s="64"/>
      <c r="BM45" s="64"/>
      <c r="BN45" s="62"/>
      <c r="BO45" s="62"/>
      <c r="BP45" s="36"/>
      <c r="BQ45" s="34"/>
      <c r="BR45" s="36"/>
      <c r="BS45" s="36"/>
      <c r="BT45" s="36"/>
      <c r="BU45" s="36"/>
      <c r="BV45" s="36"/>
      <c r="BW45" s="39"/>
      <c r="BX45" s="36"/>
      <c r="BY45" s="36"/>
      <c r="BZ45" s="36"/>
      <c r="CA45" s="36"/>
      <c r="CB45" s="62"/>
      <c r="CC45" s="36"/>
      <c r="CD45" s="36"/>
      <c r="CE45" s="36"/>
      <c r="CF45" s="36"/>
      <c r="CG45" s="36"/>
      <c r="CH45" s="39"/>
      <c r="CI45" s="36"/>
      <c r="CJ45" s="36"/>
      <c r="CK45" s="36"/>
      <c r="CL45" s="36"/>
      <c r="CM45" s="36"/>
      <c r="CN45" s="36"/>
      <c r="CO45" s="34"/>
      <c r="CP45" s="36"/>
      <c r="CQ45" s="36"/>
      <c r="CR45" s="36"/>
      <c r="CS45" s="39"/>
      <c r="CT45" s="36"/>
      <c r="CU45" s="36"/>
      <c r="CV45" s="36"/>
      <c r="CW45" s="36"/>
      <c r="CX45" s="36"/>
      <c r="CY45" s="34"/>
      <c r="CZ45" s="36"/>
      <c r="DA45" s="36"/>
      <c r="DB45" s="62"/>
      <c r="DC45" s="36"/>
      <c r="DD45" s="36"/>
      <c r="DE45" s="34"/>
      <c r="DF45" s="36"/>
      <c r="DG45" s="36"/>
      <c r="DH45" s="36"/>
      <c r="DI45" s="36"/>
      <c r="DJ45" s="36"/>
      <c r="DK45" s="36"/>
      <c r="DL45" s="34"/>
      <c r="DM45" s="34"/>
      <c r="DN45" s="36"/>
      <c r="DO45" s="36"/>
      <c r="DP45" s="36"/>
      <c r="DQ45" s="36"/>
      <c r="DR45" s="36"/>
      <c r="DS45" s="36"/>
      <c r="DT45" s="36"/>
      <c r="DU45" s="36"/>
      <c r="DV45" s="36"/>
      <c r="DW45" s="36"/>
      <c r="DX45" s="36"/>
      <c r="DY45" s="36"/>
      <c r="DZ45" s="36"/>
      <c r="EA45" s="36"/>
      <c r="EB45" s="36"/>
      <c r="EC45" s="36"/>
      <c r="ED45" s="36"/>
      <c r="EE45" s="36"/>
      <c r="EF45" s="36"/>
      <c r="EG45" s="36"/>
      <c r="EH45" s="36"/>
      <c r="EI45" s="36"/>
      <c r="EJ45" s="36"/>
      <c r="EK45" s="36"/>
      <c r="EL45" s="36"/>
      <c r="EM45" s="36"/>
      <c r="EN45" s="36"/>
      <c r="EO45" s="36"/>
      <c r="EP45" s="36"/>
      <c r="EQ45" s="36"/>
      <c r="ER45" s="36"/>
      <c r="ES45" s="36"/>
      <c r="ET45" s="36"/>
      <c r="EU45" s="36"/>
      <c r="EV45" s="36"/>
      <c r="EW45" s="36"/>
      <c r="EX45" s="36"/>
      <c r="EY45" s="36"/>
      <c r="EZ45" s="36"/>
      <c r="FA45" s="36"/>
      <c r="FB45" s="36"/>
      <c r="FC45" s="36"/>
      <c r="FD45" s="36"/>
      <c r="FE45" s="36"/>
      <c r="FF45" s="36"/>
      <c r="FG45" s="36"/>
      <c r="FH45" s="36"/>
      <c r="FI45" s="36"/>
      <c r="FJ45" s="36"/>
      <c r="FK45" s="36"/>
      <c r="FL45" s="36"/>
      <c r="FM45" s="36"/>
      <c r="FN45" s="36"/>
      <c r="FO45" s="36"/>
      <c r="FP45" s="36"/>
      <c r="FQ45" s="36"/>
      <c r="FR45" s="36"/>
      <c r="FS45" s="36"/>
      <c r="FT45" s="36"/>
      <c r="FU45" s="36"/>
      <c r="FV45" s="36"/>
      <c r="FW45" s="36"/>
      <c r="FX45" s="36"/>
      <c r="FY45" s="36"/>
      <c r="FZ45" s="36"/>
      <c r="GA45" s="36"/>
      <c r="GB45" s="36"/>
      <c r="GC45" s="36"/>
      <c r="GD45" s="36"/>
      <c r="GE45" s="36"/>
      <c r="GF45" s="36"/>
      <c r="GG45" s="36"/>
      <c r="GH45" s="39"/>
      <c r="GI45" s="34"/>
      <c r="GJ45" s="62"/>
      <c r="GK45" s="36"/>
      <c r="GL45" s="36"/>
      <c r="GM45" s="36"/>
      <c r="GN45" s="36"/>
      <c r="GO45" s="36"/>
      <c r="GP45" s="62"/>
      <c r="GQ45" s="36" t="s">
        <v>527</v>
      </c>
      <c r="GR45" s="36"/>
      <c r="GS45" s="36"/>
      <c r="GT45" s="36"/>
      <c r="GU45" s="36"/>
      <c r="GV45" s="36"/>
      <c r="GW45" s="36"/>
      <c r="GX45" s="36"/>
      <c r="GY45" s="36"/>
      <c r="GZ45" s="36"/>
      <c r="HA45" s="36"/>
      <c r="HB45" s="36"/>
      <c r="HC45" s="36"/>
      <c r="HD45" s="36"/>
      <c r="HE45" s="36"/>
      <c r="HF45" s="36"/>
      <c r="HG45" s="36"/>
      <c r="HH45" s="36"/>
      <c r="HI45" s="36"/>
      <c r="HJ45" s="36"/>
      <c r="HK45" s="36"/>
      <c r="HL45" s="36"/>
      <c r="HM45" s="36"/>
      <c r="HN45" s="36"/>
      <c r="HO45" s="36"/>
      <c r="HP45" s="36"/>
      <c r="HQ45" s="36"/>
      <c r="HR45" s="36"/>
      <c r="HS45" s="36"/>
      <c r="HT45" s="36"/>
      <c r="HU45" s="36"/>
      <c r="HV45" s="36"/>
      <c r="HW45" s="36"/>
      <c r="HX45" s="36"/>
      <c r="HY45" s="36"/>
      <c r="HZ45" s="36"/>
      <c r="IA45" s="36"/>
      <c r="IB45" s="36"/>
      <c r="IC45" s="36"/>
      <c r="ID45" s="36"/>
      <c r="IE45" s="36"/>
      <c r="IF45" s="36"/>
      <c r="IG45" s="36"/>
      <c r="IH45" s="36"/>
      <c r="II45" s="36"/>
      <c r="IJ45" s="36"/>
      <c r="IK45" s="36"/>
      <c r="IL45" s="36"/>
      <c r="IM45" s="36"/>
      <c r="IN45" s="36"/>
      <c r="IO45" s="36"/>
      <c r="IP45" s="36"/>
      <c r="IQ45" s="36"/>
      <c r="IR45" s="36"/>
      <c r="IS45" s="36"/>
      <c r="IT45" s="36"/>
      <c r="IU45" s="36"/>
      <c r="IV45" s="36"/>
      <c r="IW45" s="36"/>
      <c r="IX45" s="36"/>
      <c r="IY45" s="36"/>
      <c r="IZ45" s="36"/>
      <c r="JA45" s="36"/>
      <c r="JB45" s="36"/>
      <c r="JC45" s="36"/>
      <c r="JD45" s="36"/>
      <c r="JE45" s="36"/>
      <c r="JF45" s="36"/>
      <c r="JG45" s="36"/>
      <c r="JH45" s="36"/>
      <c r="JI45" s="36"/>
      <c r="JJ45" s="36"/>
      <c r="JK45" s="36"/>
      <c r="JL45" s="36"/>
      <c r="JM45" s="36"/>
      <c r="JN45" s="36"/>
      <c r="JO45" s="36"/>
      <c r="JP45" s="36"/>
      <c r="JQ45" s="36"/>
      <c r="JR45" s="36"/>
      <c r="JS45" s="36"/>
      <c r="JT45" s="36"/>
      <c r="JU45" s="36"/>
      <c r="JV45" s="36"/>
      <c r="JW45" s="36"/>
      <c r="JX45" s="36"/>
      <c r="JY45" s="36"/>
      <c r="JZ45" s="36"/>
      <c r="KA45" s="36"/>
      <c r="KD45" s="15"/>
      <c r="KE45" s="51"/>
      <c r="KH45" s="15"/>
      <c r="KI45" s="15"/>
      <c r="KM45" s="56"/>
      <c r="KN45" s="56"/>
      <c r="KO45" s="56"/>
      <c r="KP45" s="56"/>
      <c r="KQ45" s="56"/>
      <c r="KR45" s="56"/>
      <c r="KS45" s="56"/>
      <c r="KT45" s="56"/>
      <c r="KU45" s="56"/>
      <c r="KV45" s="56"/>
      <c r="KW45" s="56"/>
    </row>
    <row r="46" spans="2:309">
      <c r="B46" s="49" t="s">
        <v>430</v>
      </c>
      <c r="C46" s="36" t="s">
        <v>427</v>
      </c>
      <c r="D46" s="36" t="s">
        <v>91</v>
      </c>
      <c r="E46" s="36" t="s">
        <v>454</v>
      </c>
      <c r="F46" s="51">
        <v>41715</v>
      </c>
      <c r="G46" s="51">
        <v>41715</v>
      </c>
      <c r="H46" s="50" t="s">
        <v>544</v>
      </c>
      <c r="I46" s="38">
        <v>1005</v>
      </c>
      <c r="J46" s="38">
        <v>1033</v>
      </c>
      <c r="K46" s="38"/>
      <c r="L46" s="36"/>
      <c r="M46" s="36"/>
      <c r="N46" s="38"/>
      <c r="O46" s="38">
        <v>1005</v>
      </c>
      <c r="P46" s="38">
        <v>1033</v>
      </c>
      <c r="Q46" s="38"/>
      <c r="R46" s="38"/>
      <c r="S46" s="38"/>
      <c r="T46" s="38"/>
      <c r="U46" s="38"/>
      <c r="V46" s="38"/>
      <c r="W46" s="38"/>
      <c r="X46" s="38"/>
      <c r="Y46" s="38"/>
      <c r="Z46" s="38"/>
      <c r="AA46" s="36" t="s">
        <v>92</v>
      </c>
      <c r="AB46" s="36" t="s">
        <v>540</v>
      </c>
      <c r="AC46" s="36" t="s">
        <v>541</v>
      </c>
      <c r="AD46" s="36" t="s">
        <v>95</v>
      </c>
      <c r="AE46" s="51">
        <v>41715</v>
      </c>
      <c r="AF46" s="39">
        <v>1.35</v>
      </c>
      <c r="AG46" s="39">
        <v>100</v>
      </c>
      <c r="AH46" s="39">
        <v>1</v>
      </c>
      <c r="AI46" s="39"/>
      <c r="AJ46" s="39">
        <v>100</v>
      </c>
      <c r="AK46" s="39"/>
      <c r="AL46" s="36" t="s">
        <v>426</v>
      </c>
      <c r="AM46" s="50" t="s">
        <v>544</v>
      </c>
      <c r="AN46" s="36" t="s">
        <v>503</v>
      </c>
      <c r="AO46" s="36">
        <v>3</v>
      </c>
      <c r="AP46" s="36">
        <v>4</v>
      </c>
      <c r="AQ46" s="36">
        <v>5</v>
      </c>
      <c r="AR46" s="36">
        <v>6</v>
      </c>
      <c r="AS46" s="36">
        <v>7</v>
      </c>
      <c r="AT46" s="36">
        <v>8</v>
      </c>
      <c r="AU46" s="36">
        <v>9</v>
      </c>
      <c r="AV46" s="36">
        <v>10</v>
      </c>
      <c r="AW46" s="36">
        <v>11</v>
      </c>
      <c r="AX46" s="36">
        <v>12</v>
      </c>
      <c r="AY46" s="36">
        <v>13</v>
      </c>
      <c r="AZ46" s="36">
        <v>14</v>
      </c>
      <c r="BA46" s="36">
        <v>15</v>
      </c>
      <c r="BB46" s="36"/>
      <c r="BC46" s="36"/>
      <c r="BD46" s="63"/>
      <c r="BE46" s="39"/>
      <c r="BF46" s="36"/>
      <c r="BG46" s="62"/>
      <c r="BH46" s="62"/>
      <c r="BI46" s="64"/>
      <c r="BJ46" s="64" t="s">
        <v>98</v>
      </c>
      <c r="BK46" s="64"/>
      <c r="BL46" s="64"/>
      <c r="BM46" s="64"/>
      <c r="BN46" s="62"/>
      <c r="BO46" s="62"/>
      <c r="BP46" s="36"/>
      <c r="BQ46" s="34"/>
      <c r="BR46" s="36"/>
      <c r="BS46" s="36"/>
      <c r="BT46" s="36"/>
      <c r="BU46" s="36"/>
      <c r="BV46" s="36"/>
      <c r="BW46" s="39"/>
      <c r="BX46" s="36"/>
      <c r="BY46" s="36"/>
      <c r="BZ46" s="36"/>
      <c r="CA46" s="36"/>
      <c r="CB46" s="62"/>
      <c r="CC46" s="36"/>
      <c r="CD46" s="36"/>
      <c r="CE46" s="36"/>
      <c r="CF46" s="36"/>
      <c r="CG46" s="36"/>
      <c r="CH46" s="39"/>
      <c r="CI46" s="36"/>
      <c r="CJ46" s="36"/>
      <c r="CK46" s="36"/>
      <c r="CL46" s="36"/>
      <c r="CM46" s="36"/>
      <c r="CN46" s="36"/>
      <c r="CO46" s="34"/>
      <c r="CP46" s="36"/>
      <c r="CQ46" s="36"/>
      <c r="CR46" s="36"/>
      <c r="CS46" s="39"/>
      <c r="CT46" s="36"/>
      <c r="CU46" s="36"/>
      <c r="CV46" s="36"/>
      <c r="CW46" s="36"/>
      <c r="CX46" s="36"/>
      <c r="CY46" s="34"/>
      <c r="CZ46" s="36"/>
      <c r="DA46" s="36"/>
      <c r="DB46" s="62"/>
      <c r="DC46" s="36"/>
      <c r="DD46" s="36"/>
      <c r="DE46" s="34"/>
      <c r="DF46" s="36"/>
      <c r="DG46" s="36"/>
      <c r="DH46" s="36"/>
      <c r="DI46" s="36"/>
      <c r="DJ46" s="36"/>
      <c r="DK46" s="36"/>
      <c r="DL46" s="34"/>
      <c r="DM46" s="34"/>
      <c r="DN46" s="36"/>
      <c r="DO46" s="36"/>
      <c r="DP46" s="36"/>
      <c r="DQ46" s="36"/>
      <c r="DR46" s="36"/>
      <c r="DS46" s="36"/>
      <c r="DT46" s="36"/>
      <c r="DU46" s="36"/>
      <c r="DV46" s="36"/>
      <c r="DW46" s="36"/>
      <c r="DX46" s="36"/>
      <c r="DY46" s="36"/>
      <c r="DZ46" s="36"/>
      <c r="EA46" s="36"/>
      <c r="EB46" s="36"/>
      <c r="EC46" s="36"/>
      <c r="ED46" s="36"/>
      <c r="EE46" s="36"/>
      <c r="EF46" s="36"/>
      <c r="EG46" s="36"/>
      <c r="EH46" s="36"/>
      <c r="EI46" s="36"/>
      <c r="EJ46" s="36"/>
      <c r="EK46" s="36"/>
      <c r="EL46" s="36"/>
      <c r="EM46" s="36"/>
      <c r="EN46" s="36"/>
      <c r="EO46" s="36"/>
      <c r="EP46" s="36"/>
      <c r="EQ46" s="36"/>
      <c r="ER46" s="36"/>
      <c r="ES46" s="36"/>
      <c r="ET46" s="36"/>
      <c r="EU46" s="36"/>
      <c r="EV46" s="36"/>
      <c r="EW46" s="36"/>
      <c r="EX46" s="36"/>
      <c r="EY46" s="36"/>
      <c r="EZ46" s="36"/>
      <c r="FA46" s="36"/>
      <c r="FB46" s="36"/>
      <c r="FC46" s="36"/>
      <c r="FD46" s="36"/>
      <c r="FE46" s="36"/>
      <c r="FF46" s="36"/>
      <c r="FG46" s="36"/>
      <c r="FH46" s="36"/>
      <c r="FI46" s="36"/>
      <c r="FJ46" s="36"/>
      <c r="FK46" s="36"/>
      <c r="FL46" s="36"/>
      <c r="FM46" s="36"/>
      <c r="FN46" s="36"/>
      <c r="FO46" s="36"/>
      <c r="FP46" s="36"/>
      <c r="FQ46" s="36"/>
      <c r="FR46" s="36"/>
      <c r="FS46" s="36"/>
      <c r="FT46" s="36"/>
      <c r="FU46" s="36"/>
      <c r="FV46" s="36"/>
      <c r="FW46" s="36"/>
      <c r="FX46" s="36"/>
      <c r="FY46" s="36"/>
      <c r="FZ46" s="36"/>
      <c r="GA46" s="36"/>
      <c r="GB46" s="36"/>
      <c r="GC46" s="36"/>
      <c r="GD46" s="36"/>
      <c r="GE46" s="36"/>
      <c r="GF46" s="36"/>
      <c r="GG46" s="36"/>
      <c r="GH46" s="39"/>
      <c r="GI46" s="34"/>
      <c r="GJ46" s="62"/>
      <c r="GK46" s="36"/>
      <c r="GL46" s="36"/>
      <c r="GM46" s="36"/>
      <c r="GN46" s="36"/>
      <c r="GO46" s="36"/>
      <c r="GP46" s="62"/>
      <c r="GQ46" s="36" t="s">
        <v>527</v>
      </c>
      <c r="GR46" s="36"/>
      <c r="GS46" s="36"/>
      <c r="GT46" s="36"/>
      <c r="GU46" s="36"/>
      <c r="GV46" s="36"/>
      <c r="GW46" s="36"/>
      <c r="GX46" s="36"/>
      <c r="GY46" s="36"/>
      <c r="GZ46" s="36"/>
      <c r="HA46" s="36"/>
      <c r="HB46" s="36"/>
      <c r="HC46" s="36"/>
      <c r="HD46" s="36"/>
      <c r="HE46" s="36"/>
      <c r="HF46" s="36"/>
      <c r="HG46" s="36"/>
      <c r="HH46" s="36"/>
      <c r="HI46" s="36"/>
      <c r="HJ46" s="36"/>
      <c r="HK46" s="36"/>
      <c r="HL46" s="36"/>
      <c r="HM46" s="36"/>
      <c r="HN46" s="36"/>
      <c r="HO46" s="36"/>
      <c r="HP46" s="36"/>
      <c r="HQ46" s="36"/>
      <c r="HR46" s="36"/>
      <c r="HS46" s="36"/>
      <c r="HT46" s="36"/>
      <c r="HU46" s="36"/>
      <c r="HV46" s="36"/>
      <c r="HW46" s="36"/>
      <c r="HX46" s="36"/>
      <c r="HY46" s="36"/>
      <c r="HZ46" s="36"/>
      <c r="IA46" s="36"/>
      <c r="IB46" s="36"/>
      <c r="IC46" s="36"/>
      <c r="ID46" s="36"/>
      <c r="IE46" s="36"/>
      <c r="IF46" s="36"/>
      <c r="IG46" s="36"/>
      <c r="IH46" s="36"/>
      <c r="II46" s="36"/>
      <c r="IJ46" s="36"/>
      <c r="IK46" s="36"/>
      <c r="IL46" s="36"/>
      <c r="IM46" s="36"/>
      <c r="IN46" s="36"/>
      <c r="IO46" s="36"/>
      <c r="IP46" s="36"/>
      <c r="IQ46" s="36"/>
      <c r="IR46" s="36"/>
      <c r="IS46" s="36"/>
      <c r="IT46" s="36"/>
      <c r="IU46" s="36"/>
      <c r="IV46" s="36"/>
      <c r="IW46" s="36"/>
      <c r="IX46" s="36"/>
      <c r="IY46" s="36"/>
      <c r="IZ46" s="36"/>
      <c r="JA46" s="36"/>
      <c r="JB46" s="36"/>
      <c r="JC46" s="36"/>
      <c r="JD46" s="36"/>
      <c r="JE46" s="36"/>
      <c r="JF46" s="36"/>
      <c r="JG46" s="36"/>
      <c r="JH46" s="36"/>
      <c r="JI46" s="36"/>
      <c r="JJ46" s="36"/>
      <c r="JK46" s="36"/>
      <c r="JL46" s="36"/>
      <c r="JM46" s="36"/>
      <c r="JN46" s="36"/>
      <c r="JO46" s="36"/>
      <c r="JP46" s="36"/>
      <c r="JQ46" s="36"/>
      <c r="JR46" s="36"/>
      <c r="JS46" s="36"/>
      <c r="JT46" s="36"/>
      <c r="JU46" s="36"/>
      <c r="JV46" s="36"/>
      <c r="JW46" s="36"/>
      <c r="JX46" s="36"/>
      <c r="JY46" s="36"/>
      <c r="JZ46" s="36"/>
      <c r="KA46" s="36"/>
      <c r="KD46" s="15"/>
      <c r="KE46" s="51"/>
      <c r="KH46" s="15"/>
      <c r="KI46" s="15"/>
      <c r="KM46" s="56"/>
      <c r="KN46" s="56"/>
      <c r="KO46" s="56"/>
      <c r="KP46" s="56"/>
      <c r="KQ46" s="56"/>
      <c r="KR46" s="56"/>
      <c r="KS46" s="56"/>
      <c r="KT46" s="56"/>
      <c r="KU46" s="56"/>
      <c r="KV46" s="56"/>
      <c r="KW46" s="56"/>
    </row>
    <row r="47" spans="2:309">
      <c r="B47" s="49" t="s">
        <v>430</v>
      </c>
      <c r="C47" s="36" t="s">
        <v>427</v>
      </c>
      <c r="D47" s="36" t="s">
        <v>91</v>
      </c>
      <c r="E47" s="36" t="s">
        <v>454</v>
      </c>
      <c r="F47" s="51">
        <v>41715</v>
      </c>
      <c r="G47" s="51">
        <v>41715</v>
      </c>
      <c r="H47" s="50" t="s">
        <v>544</v>
      </c>
      <c r="I47" s="38">
        <v>1005</v>
      </c>
      <c r="J47" s="38">
        <v>1033</v>
      </c>
      <c r="K47" s="38"/>
      <c r="L47" s="36"/>
      <c r="M47" s="36"/>
      <c r="N47" s="38"/>
      <c r="O47" s="38">
        <v>1005</v>
      </c>
      <c r="P47" s="38">
        <v>1033</v>
      </c>
      <c r="Q47" s="38"/>
      <c r="R47" s="38"/>
      <c r="S47" s="38"/>
      <c r="T47" s="38"/>
      <c r="U47" s="38"/>
      <c r="V47" s="38"/>
      <c r="W47" s="38"/>
      <c r="X47" s="38"/>
      <c r="Y47" s="38"/>
      <c r="Z47" s="38"/>
      <c r="AA47" s="36" t="s">
        <v>516</v>
      </c>
      <c r="AB47" s="36" t="s">
        <v>540</v>
      </c>
      <c r="AC47" s="36" t="s">
        <v>541</v>
      </c>
      <c r="AD47" s="36" t="s">
        <v>95</v>
      </c>
      <c r="AE47" s="51">
        <v>41715</v>
      </c>
      <c r="AF47" s="39">
        <v>1.35</v>
      </c>
      <c r="AG47" s="39">
        <v>100</v>
      </c>
      <c r="AH47" s="39">
        <v>1</v>
      </c>
      <c r="AI47" s="39"/>
      <c r="AJ47" s="39">
        <v>100</v>
      </c>
      <c r="AK47" s="39"/>
      <c r="AL47" s="36" t="s">
        <v>426</v>
      </c>
      <c r="AM47" s="50" t="s">
        <v>544</v>
      </c>
      <c r="AN47" s="36" t="s">
        <v>517</v>
      </c>
      <c r="AO47" s="36">
        <v>3</v>
      </c>
      <c r="AP47" s="36">
        <v>4</v>
      </c>
      <c r="AQ47" s="36">
        <v>5</v>
      </c>
      <c r="AR47" s="36">
        <v>6</v>
      </c>
      <c r="AS47" s="36">
        <v>7</v>
      </c>
      <c r="AT47" s="36">
        <v>8</v>
      </c>
      <c r="AU47" s="36">
        <v>9</v>
      </c>
      <c r="AV47" s="36">
        <v>10</v>
      </c>
      <c r="AW47" s="36">
        <v>11</v>
      </c>
      <c r="AX47" s="36">
        <v>12</v>
      </c>
      <c r="AY47" s="36">
        <v>13</v>
      </c>
      <c r="AZ47" s="36">
        <v>14</v>
      </c>
      <c r="BA47" s="36">
        <v>15</v>
      </c>
      <c r="BB47" s="36"/>
      <c r="BC47" s="36"/>
      <c r="BD47" s="63"/>
      <c r="BE47" s="39"/>
      <c r="BF47" s="36"/>
      <c r="BG47" s="62"/>
      <c r="BH47" s="62"/>
      <c r="BI47" s="64"/>
      <c r="BJ47" s="64" t="s">
        <v>98</v>
      </c>
      <c r="BK47" s="64"/>
      <c r="BL47" s="64"/>
      <c r="BM47" s="64"/>
      <c r="BN47" s="62"/>
      <c r="BO47" s="62"/>
      <c r="BP47" s="36"/>
      <c r="BQ47" s="34"/>
      <c r="BR47" s="36"/>
      <c r="BS47" s="36"/>
      <c r="BT47" s="36"/>
      <c r="BU47" s="36"/>
      <c r="BV47" s="36"/>
      <c r="BW47" s="39"/>
      <c r="BX47" s="36"/>
      <c r="BY47" s="36"/>
      <c r="BZ47" s="36"/>
      <c r="CA47" s="36"/>
      <c r="CB47" s="62"/>
      <c r="CC47" s="36"/>
      <c r="CD47" s="36"/>
      <c r="CE47" s="36"/>
      <c r="CF47" s="36"/>
      <c r="CG47" s="36"/>
      <c r="CH47" s="39"/>
      <c r="CI47" s="36"/>
      <c r="CJ47" s="36"/>
      <c r="CK47" s="36"/>
      <c r="CL47" s="36"/>
      <c r="CM47" s="36"/>
      <c r="CN47" s="36"/>
      <c r="CO47" s="34"/>
      <c r="CP47" s="36"/>
      <c r="CQ47" s="36"/>
      <c r="CR47" s="36"/>
      <c r="CS47" s="39"/>
      <c r="CT47" s="36"/>
      <c r="CU47" s="36"/>
      <c r="CV47" s="36"/>
      <c r="CW47" s="36"/>
      <c r="CX47" s="36"/>
      <c r="CY47" s="34"/>
      <c r="CZ47" s="36"/>
      <c r="DA47" s="36"/>
      <c r="DB47" s="62"/>
      <c r="DC47" s="36"/>
      <c r="DD47" s="36"/>
      <c r="DE47" s="34"/>
      <c r="DF47" s="36"/>
      <c r="DG47" s="36"/>
      <c r="DH47" s="36"/>
      <c r="DI47" s="36"/>
      <c r="DJ47" s="36"/>
      <c r="DK47" s="36"/>
      <c r="DL47" s="34"/>
      <c r="DM47" s="34"/>
      <c r="DN47" s="36"/>
      <c r="DO47" s="36"/>
      <c r="DP47" s="36"/>
      <c r="DQ47" s="36"/>
      <c r="DR47" s="36"/>
      <c r="DS47" s="36"/>
      <c r="DT47" s="36"/>
      <c r="DU47" s="36"/>
      <c r="DV47" s="36"/>
      <c r="DW47" s="36"/>
      <c r="DX47" s="36"/>
      <c r="DY47" s="36"/>
      <c r="DZ47" s="36"/>
      <c r="EA47" s="36"/>
      <c r="EB47" s="36"/>
      <c r="EC47" s="36"/>
      <c r="ED47" s="36"/>
      <c r="EE47" s="36"/>
      <c r="EF47" s="36"/>
      <c r="EG47" s="36"/>
      <c r="EH47" s="36"/>
      <c r="EI47" s="36"/>
      <c r="EJ47" s="36"/>
      <c r="EK47" s="36"/>
      <c r="EL47" s="36"/>
      <c r="EM47" s="36"/>
      <c r="EN47" s="36"/>
      <c r="EO47" s="36"/>
      <c r="EP47" s="36"/>
      <c r="EQ47" s="36"/>
      <c r="ER47" s="36"/>
      <c r="ES47" s="36"/>
      <c r="ET47" s="36"/>
      <c r="EU47" s="36"/>
      <c r="EV47" s="36"/>
      <c r="EW47" s="36"/>
      <c r="EX47" s="36"/>
      <c r="EY47" s="36"/>
      <c r="EZ47" s="36"/>
      <c r="FA47" s="36"/>
      <c r="FB47" s="36"/>
      <c r="FC47" s="36"/>
      <c r="FD47" s="36"/>
      <c r="FE47" s="36"/>
      <c r="FF47" s="36"/>
      <c r="FG47" s="36"/>
      <c r="FH47" s="36"/>
      <c r="FI47" s="36"/>
      <c r="FJ47" s="36"/>
      <c r="FK47" s="36"/>
      <c r="FL47" s="36"/>
      <c r="FM47" s="36"/>
      <c r="FN47" s="36"/>
      <c r="FO47" s="36"/>
      <c r="FP47" s="36"/>
      <c r="FQ47" s="36"/>
      <c r="FR47" s="36"/>
      <c r="FS47" s="36"/>
      <c r="FT47" s="36"/>
      <c r="FU47" s="36"/>
      <c r="FV47" s="36"/>
      <c r="FW47" s="36"/>
      <c r="FX47" s="36"/>
      <c r="FY47" s="36"/>
      <c r="FZ47" s="36"/>
      <c r="GA47" s="36"/>
      <c r="GB47" s="36"/>
      <c r="GC47" s="36"/>
      <c r="GD47" s="36"/>
      <c r="GE47" s="36"/>
      <c r="GF47" s="36"/>
      <c r="GG47" s="36"/>
      <c r="GH47" s="39"/>
      <c r="GI47" s="34"/>
      <c r="GJ47" s="62"/>
      <c r="GK47" s="36"/>
      <c r="GL47" s="36"/>
      <c r="GM47" s="36"/>
      <c r="GN47" s="36"/>
      <c r="GO47" s="36"/>
      <c r="GP47" s="62"/>
      <c r="GQ47" s="36" t="s">
        <v>527</v>
      </c>
      <c r="GR47" s="36"/>
      <c r="GS47" s="36"/>
      <c r="GT47" s="36"/>
      <c r="GU47" s="36"/>
      <c r="GV47" s="36"/>
      <c r="GW47" s="36"/>
      <c r="GX47" s="36"/>
      <c r="GY47" s="36"/>
      <c r="GZ47" s="36"/>
      <c r="HA47" s="36"/>
      <c r="HB47" s="36"/>
      <c r="HC47" s="36"/>
      <c r="HD47" s="36"/>
      <c r="HE47" s="36"/>
      <c r="HF47" s="36"/>
      <c r="HG47" s="36"/>
      <c r="HH47" s="36"/>
      <c r="HI47" s="36"/>
      <c r="HJ47" s="36"/>
      <c r="HK47" s="36"/>
      <c r="HL47" s="36"/>
      <c r="HM47" s="36"/>
      <c r="HN47" s="36"/>
      <c r="HO47" s="36"/>
      <c r="HP47" s="36"/>
      <c r="HQ47" s="36"/>
      <c r="HR47" s="36"/>
      <c r="HS47" s="36"/>
      <c r="HT47" s="36"/>
      <c r="HU47" s="36"/>
      <c r="HV47" s="36"/>
      <c r="HW47" s="36"/>
      <c r="HX47" s="36"/>
      <c r="HY47" s="36"/>
      <c r="HZ47" s="36"/>
      <c r="IA47" s="36"/>
      <c r="IB47" s="36"/>
      <c r="IC47" s="36"/>
      <c r="ID47" s="36"/>
      <c r="IE47" s="36"/>
      <c r="IF47" s="36"/>
      <c r="IG47" s="36"/>
      <c r="IH47" s="36"/>
      <c r="II47" s="36"/>
      <c r="IJ47" s="36"/>
      <c r="IK47" s="36"/>
      <c r="IL47" s="36"/>
      <c r="IM47" s="36"/>
      <c r="IN47" s="36"/>
      <c r="IO47" s="36"/>
      <c r="IP47" s="36"/>
      <c r="IQ47" s="36"/>
      <c r="IR47" s="36"/>
      <c r="IS47" s="36"/>
      <c r="IT47" s="36"/>
      <c r="IU47" s="36"/>
      <c r="IV47" s="36"/>
      <c r="IW47" s="36"/>
      <c r="IX47" s="36"/>
      <c r="IY47" s="36"/>
      <c r="IZ47" s="36"/>
      <c r="JA47" s="36"/>
      <c r="JB47" s="36"/>
      <c r="JC47" s="36"/>
      <c r="JD47" s="36"/>
      <c r="JE47" s="36"/>
      <c r="JF47" s="36"/>
      <c r="JG47" s="36"/>
      <c r="JH47" s="36"/>
      <c r="JI47" s="36"/>
      <c r="JJ47" s="36"/>
      <c r="JK47" s="36"/>
      <c r="JL47" s="36"/>
      <c r="JM47" s="36"/>
      <c r="JN47" s="36"/>
      <c r="JO47" s="36"/>
      <c r="JP47" s="36"/>
      <c r="JQ47" s="36"/>
      <c r="JR47" s="36"/>
      <c r="JS47" s="36"/>
      <c r="JT47" s="36"/>
      <c r="JU47" s="36"/>
      <c r="JV47" s="36"/>
      <c r="JW47" s="36"/>
      <c r="JX47" s="36"/>
      <c r="JY47" s="36"/>
      <c r="JZ47" s="36"/>
      <c r="KA47" s="36"/>
      <c r="KD47" s="15"/>
      <c r="KE47" s="51"/>
      <c r="KH47" s="15"/>
      <c r="KI47" s="15"/>
      <c r="KM47" s="56"/>
      <c r="KN47" s="56"/>
      <c r="KO47" s="56"/>
      <c r="KP47" s="56"/>
      <c r="KQ47" s="56"/>
      <c r="KR47" s="56"/>
      <c r="KS47" s="56"/>
      <c r="KT47" s="56"/>
      <c r="KU47" s="56"/>
      <c r="KV47" s="56"/>
      <c r="KW47" s="56"/>
    </row>
    <row r="48" spans="2:309">
      <c r="B48" s="49" t="s">
        <v>430</v>
      </c>
      <c r="C48" s="36" t="s">
        <v>427</v>
      </c>
      <c r="D48" s="36" t="s">
        <v>91</v>
      </c>
      <c r="E48" s="36" t="s">
        <v>454</v>
      </c>
      <c r="F48" s="51">
        <v>41715</v>
      </c>
      <c r="G48" s="51">
        <v>41715</v>
      </c>
      <c r="H48" s="50" t="s">
        <v>545</v>
      </c>
      <c r="I48" s="38">
        <v>1005</v>
      </c>
      <c r="J48" s="38">
        <v>1033</v>
      </c>
      <c r="K48" s="38"/>
      <c r="L48" s="36"/>
      <c r="M48" s="36"/>
      <c r="N48" s="38"/>
      <c r="O48" s="38">
        <v>1005</v>
      </c>
      <c r="P48" s="38">
        <v>1033</v>
      </c>
      <c r="Q48" s="38"/>
      <c r="R48" s="38"/>
      <c r="S48" s="38"/>
      <c r="T48" s="38"/>
      <c r="U48" s="38"/>
      <c r="V48" s="38"/>
      <c r="W48" s="38"/>
      <c r="X48" s="38"/>
      <c r="Y48" s="38"/>
      <c r="Z48" s="38"/>
      <c r="AA48" s="36" t="s">
        <v>92</v>
      </c>
      <c r="AB48" s="36" t="s">
        <v>540</v>
      </c>
      <c r="AC48" s="36" t="s">
        <v>541</v>
      </c>
      <c r="AD48" s="36" t="s">
        <v>95</v>
      </c>
      <c r="AE48" s="51">
        <v>41715</v>
      </c>
      <c r="AF48" s="39">
        <v>1.35</v>
      </c>
      <c r="AG48" s="39">
        <v>100</v>
      </c>
      <c r="AH48" s="39">
        <v>1</v>
      </c>
      <c r="AI48" s="39"/>
      <c r="AJ48" s="39">
        <v>100</v>
      </c>
      <c r="AK48" s="39"/>
      <c r="AL48" s="36" t="s">
        <v>426</v>
      </c>
      <c r="AM48" s="50" t="s">
        <v>545</v>
      </c>
      <c r="AN48" s="36" t="s">
        <v>503</v>
      </c>
      <c r="AO48" s="36">
        <v>3</v>
      </c>
      <c r="AP48" s="36">
        <v>4</v>
      </c>
      <c r="AQ48" s="36">
        <v>5</v>
      </c>
      <c r="AR48" s="36">
        <v>6</v>
      </c>
      <c r="AS48" s="36">
        <v>7</v>
      </c>
      <c r="AT48" s="36">
        <v>8</v>
      </c>
      <c r="AU48" s="36">
        <v>9</v>
      </c>
      <c r="AV48" s="36">
        <v>10</v>
      </c>
      <c r="AW48" s="36">
        <v>11</v>
      </c>
      <c r="AX48" s="36">
        <v>12</v>
      </c>
      <c r="AY48" s="36">
        <v>13</v>
      </c>
      <c r="AZ48" s="36">
        <v>14</v>
      </c>
      <c r="BA48" s="36">
        <v>15</v>
      </c>
      <c r="BB48" s="36"/>
      <c r="BC48" s="36"/>
      <c r="BD48" s="63"/>
      <c r="BE48" s="39"/>
      <c r="BF48" s="36"/>
      <c r="BG48" s="62"/>
      <c r="BH48" s="62"/>
      <c r="BI48" s="64"/>
      <c r="BJ48" s="64" t="s">
        <v>98</v>
      </c>
      <c r="BK48" s="64"/>
      <c r="BL48" s="64"/>
      <c r="BM48" s="64"/>
      <c r="BN48" s="62"/>
      <c r="BO48" s="62"/>
      <c r="BP48" s="36"/>
      <c r="BQ48" s="34"/>
      <c r="BR48" s="36"/>
      <c r="BS48" s="36"/>
      <c r="BT48" s="36"/>
      <c r="BU48" s="36"/>
      <c r="BV48" s="36"/>
      <c r="BW48" s="39"/>
      <c r="BX48" s="36"/>
      <c r="BY48" s="36"/>
      <c r="BZ48" s="36"/>
      <c r="CA48" s="36"/>
      <c r="CB48" s="62"/>
      <c r="CC48" s="36"/>
      <c r="CD48" s="36"/>
      <c r="CE48" s="36"/>
      <c r="CF48" s="36"/>
      <c r="CG48" s="36"/>
      <c r="CH48" s="39"/>
      <c r="CI48" s="36"/>
      <c r="CJ48" s="36"/>
      <c r="CK48" s="36"/>
      <c r="CL48" s="36"/>
      <c r="CM48" s="36"/>
      <c r="CN48" s="36"/>
      <c r="CO48" s="34"/>
      <c r="CP48" s="36"/>
      <c r="CQ48" s="36"/>
      <c r="CR48" s="36"/>
      <c r="CS48" s="39"/>
      <c r="CT48" s="36"/>
      <c r="CU48" s="36"/>
      <c r="CV48" s="36"/>
      <c r="CW48" s="36"/>
      <c r="CX48" s="36"/>
      <c r="CY48" s="34"/>
      <c r="CZ48" s="36"/>
      <c r="DA48" s="36"/>
      <c r="DB48" s="62"/>
      <c r="DC48" s="36"/>
      <c r="DD48" s="36"/>
      <c r="DE48" s="34"/>
      <c r="DF48" s="36"/>
      <c r="DG48" s="36"/>
      <c r="DH48" s="36"/>
      <c r="DI48" s="36"/>
      <c r="DJ48" s="36"/>
      <c r="DK48" s="36"/>
      <c r="DL48" s="34"/>
      <c r="DM48" s="34"/>
      <c r="DN48" s="36"/>
      <c r="DO48" s="36"/>
      <c r="DP48" s="36"/>
      <c r="DQ48" s="36"/>
      <c r="DR48" s="36"/>
      <c r="DS48" s="36"/>
      <c r="DT48" s="36"/>
      <c r="DU48" s="36"/>
      <c r="DV48" s="36"/>
      <c r="DW48" s="36"/>
      <c r="DX48" s="36"/>
      <c r="DY48" s="36"/>
      <c r="DZ48" s="36"/>
      <c r="EA48" s="36"/>
      <c r="EB48" s="36"/>
      <c r="EC48" s="36"/>
      <c r="ED48" s="36"/>
      <c r="EE48" s="36"/>
      <c r="EF48" s="36"/>
      <c r="EG48" s="36"/>
      <c r="EH48" s="36"/>
      <c r="EI48" s="36"/>
      <c r="EJ48" s="36"/>
      <c r="EK48" s="36"/>
      <c r="EL48" s="36"/>
      <c r="EM48" s="36"/>
      <c r="EN48" s="36"/>
      <c r="EO48" s="36"/>
      <c r="EP48" s="36"/>
      <c r="EQ48" s="36"/>
      <c r="ER48" s="36"/>
      <c r="ES48" s="36"/>
      <c r="ET48" s="36"/>
      <c r="EU48" s="36"/>
      <c r="EV48" s="36"/>
      <c r="EW48" s="36"/>
      <c r="EX48" s="36"/>
      <c r="EY48" s="36"/>
      <c r="EZ48" s="36"/>
      <c r="FA48" s="36"/>
      <c r="FB48" s="36"/>
      <c r="FC48" s="36"/>
      <c r="FD48" s="36"/>
      <c r="FE48" s="36"/>
      <c r="FF48" s="36"/>
      <c r="FG48" s="36"/>
      <c r="FH48" s="36"/>
      <c r="FI48" s="36"/>
      <c r="FJ48" s="36"/>
      <c r="FK48" s="36"/>
      <c r="FL48" s="36"/>
      <c r="FM48" s="36"/>
      <c r="FN48" s="36"/>
      <c r="FO48" s="36"/>
      <c r="FP48" s="36"/>
      <c r="FQ48" s="36"/>
      <c r="FR48" s="36"/>
      <c r="FS48" s="36"/>
      <c r="FT48" s="36"/>
      <c r="FU48" s="36"/>
      <c r="FV48" s="36"/>
      <c r="FW48" s="36"/>
      <c r="FX48" s="36"/>
      <c r="FY48" s="36"/>
      <c r="FZ48" s="36"/>
      <c r="GA48" s="36"/>
      <c r="GB48" s="36"/>
      <c r="GC48" s="36"/>
      <c r="GD48" s="36"/>
      <c r="GE48" s="36"/>
      <c r="GF48" s="36"/>
      <c r="GG48" s="36"/>
      <c r="GH48" s="39"/>
      <c r="GI48" s="34"/>
      <c r="GJ48" s="62"/>
      <c r="GK48" s="36"/>
      <c r="GL48" s="36"/>
      <c r="GM48" s="36"/>
      <c r="GN48" s="36"/>
      <c r="GO48" s="36"/>
      <c r="GP48" s="62"/>
      <c r="GQ48" s="36" t="s">
        <v>527</v>
      </c>
      <c r="GR48" s="36"/>
      <c r="GS48" s="36"/>
      <c r="GT48" s="36"/>
      <c r="GU48" s="36"/>
      <c r="GV48" s="36"/>
      <c r="GW48" s="36"/>
      <c r="GX48" s="36"/>
      <c r="GY48" s="36"/>
      <c r="GZ48" s="36"/>
      <c r="HA48" s="36"/>
      <c r="HB48" s="36"/>
      <c r="HC48" s="36"/>
      <c r="HD48" s="36"/>
      <c r="HE48" s="36"/>
      <c r="HF48" s="36"/>
      <c r="HG48" s="36"/>
      <c r="HH48" s="36"/>
      <c r="HI48" s="36"/>
      <c r="HJ48" s="36"/>
      <c r="HK48" s="36"/>
      <c r="HL48" s="36"/>
      <c r="HM48" s="36"/>
      <c r="HN48" s="36"/>
      <c r="HO48" s="36"/>
      <c r="HP48" s="36"/>
      <c r="HQ48" s="36"/>
      <c r="HR48" s="36"/>
      <c r="HS48" s="36"/>
      <c r="HT48" s="36"/>
      <c r="HU48" s="36"/>
      <c r="HV48" s="36"/>
      <c r="HW48" s="36"/>
      <c r="HX48" s="36"/>
      <c r="HY48" s="36"/>
      <c r="HZ48" s="36"/>
      <c r="IA48" s="36"/>
      <c r="IB48" s="36"/>
      <c r="IC48" s="36"/>
      <c r="ID48" s="36"/>
      <c r="IE48" s="36"/>
      <c r="IF48" s="36"/>
      <c r="IG48" s="36"/>
      <c r="IH48" s="36"/>
      <c r="II48" s="36"/>
      <c r="IJ48" s="36"/>
      <c r="IK48" s="36"/>
      <c r="IL48" s="36"/>
      <c r="IM48" s="36"/>
      <c r="IN48" s="36"/>
      <c r="IO48" s="36"/>
      <c r="IP48" s="36"/>
      <c r="IQ48" s="36"/>
      <c r="IR48" s="36"/>
      <c r="IS48" s="36"/>
      <c r="IT48" s="36"/>
      <c r="IU48" s="36"/>
      <c r="IV48" s="36"/>
      <c r="IW48" s="36"/>
      <c r="IX48" s="36"/>
      <c r="IY48" s="36"/>
      <c r="IZ48" s="36"/>
      <c r="JA48" s="36"/>
      <c r="JB48" s="36"/>
      <c r="JC48" s="36"/>
      <c r="JD48" s="36"/>
      <c r="JE48" s="36"/>
      <c r="JF48" s="36"/>
      <c r="JG48" s="36"/>
      <c r="JH48" s="36"/>
      <c r="JI48" s="36"/>
      <c r="JJ48" s="36"/>
      <c r="JK48" s="36"/>
      <c r="JL48" s="36"/>
      <c r="JM48" s="36"/>
      <c r="JN48" s="36"/>
      <c r="JO48" s="36"/>
      <c r="JP48" s="36"/>
      <c r="JQ48" s="36"/>
      <c r="JR48" s="36"/>
      <c r="JS48" s="36"/>
      <c r="JT48" s="36"/>
      <c r="JU48" s="36"/>
      <c r="JV48" s="36"/>
      <c r="JW48" s="36"/>
      <c r="JX48" s="36"/>
      <c r="JY48" s="36"/>
      <c r="JZ48" s="36"/>
      <c r="KA48" s="36"/>
      <c r="KD48" s="15"/>
      <c r="KE48" s="51"/>
      <c r="KH48" s="15"/>
      <c r="KI48" s="15"/>
      <c r="KM48" s="56"/>
      <c r="KN48" s="56"/>
      <c r="KO48" s="56"/>
      <c r="KP48" s="56"/>
      <c r="KQ48" s="56"/>
      <c r="KR48" s="56"/>
      <c r="KS48" s="56"/>
      <c r="KT48" s="56"/>
      <c r="KU48" s="56"/>
      <c r="KV48" s="56"/>
      <c r="KW48" s="56"/>
    </row>
    <row r="49" spans="2:309">
      <c r="B49" s="49" t="s">
        <v>430</v>
      </c>
      <c r="C49" s="36" t="s">
        <v>427</v>
      </c>
      <c r="D49" s="50" t="s">
        <v>91</v>
      </c>
      <c r="E49" s="50" t="s">
        <v>454</v>
      </c>
      <c r="F49" s="51">
        <v>41715</v>
      </c>
      <c r="G49" s="51">
        <v>41715</v>
      </c>
      <c r="H49" s="50" t="s">
        <v>546</v>
      </c>
      <c r="I49" s="38">
        <v>1005</v>
      </c>
      <c r="J49" s="38">
        <v>1033</v>
      </c>
      <c r="K49" s="56"/>
      <c r="L49" s="50"/>
      <c r="M49" s="50"/>
      <c r="N49" s="56"/>
      <c r="O49" s="38">
        <v>1005</v>
      </c>
      <c r="P49" s="38">
        <v>1033</v>
      </c>
      <c r="Q49" s="56"/>
      <c r="R49" s="56"/>
      <c r="S49" s="56"/>
      <c r="T49" s="56"/>
      <c r="U49" s="56"/>
      <c r="V49" s="56"/>
      <c r="W49" s="56"/>
      <c r="X49" s="56"/>
      <c r="Y49" s="56"/>
      <c r="Z49" s="56"/>
      <c r="AA49" s="50" t="s">
        <v>92</v>
      </c>
      <c r="AB49" s="50" t="s">
        <v>93</v>
      </c>
      <c r="AC49" s="50" t="s">
        <v>94</v>
      </c>
      <c r="AD49" s="50" t="s">
        <v>95</v>
      </c>
      <c r="AE49" s="51">
        <v>41715</v>
      </c>
      <c r="AF49" s="53">
        <v>1</v>
      </c>
      <c r="AG49" s="53">
        <v>100</v>
      </c>
      <c r="AH49" s="53">
        <v>1</v>
      </c>
      <c r="AJ49" s="53">
        <v>100</v>
      </c>
      <c r="AL49" s="50" t="s">
        <v>426</v>
      </c>
      <c r="AM49" s="50" t="s">
        <v>546</v>
      </c>
      <c r="AN49" s="50" t="s">
        <v>503</v>
      </c>
      <c r="AO49" s="50">
        <v>3</v>
      </c>
      <c r="AP49" s="50">
        <v>4</v>
      </c>
      <c r="AQ49" s="50">
        <v>5</v>
      </c>
      <c r="AR49" s="50">
        <v>6</v>
      </c>
      <c r="AS49" s="50">
        <v>7</v>
      </c>
      <c r="AT49" s="50">
        <v>8</v>
      </c>
      <c r="AU49" s="50">
        <v>9</v>
      </c>
      <c r="AV49" s="50">
        <v>10</v>
      </c>
      <c r="AW49" s="50">
        <v>11</v>
      </c>
      <c r="AX49" s="50">
        <v>12</v>
      </c>
      <c r="AY49" s="50">
        <v>13</v>
      </c>
      <c r="AZ49" s="50">
        <v>14</v>
      </c>
      <c r="BA49" s="50">
        <v>15</v>
      </c>
      <c r="BC49" s="50" t="s">
        <v>97</v>
      </c>
      <c r="BN49" s="51"/>
      <c r="BP49" s="50"/>
      <c r="BQ49" s="49"/>
      <c r="BR49" s="50"/>
      <c r="BW49" s="53"/>
      <c r="BX49" s="50"/>
      <c r="CB49" s="51"/>
      <c r="CC49" s="50"/>
      <c r="CH49" s="53"/>
      <c r="CL49" s="50"/>
      <c r="CO49" s="49"/>
      <c r="CS49" s="53"/>
      <c r="CW49" s="50"/>
      <c r="CY49" s="49"/>
      <c r="DB49" s="51"/>
      <c r="DC49" s="50"/>
      <c r="DE49" s="49"/>
      <c r="DF49" s="50"/>
      <c r="DI49" s="50"/>
      <c r="DL49" s="49"/>
      <c r="DM49" s="49"/>
      <c r="DP49" s="50"/>
      <c r="DQ49" s="50"/>
      <c r="GH49" s="53"/>
      <c r="GI49" s="49"/>
      <c r="GJ49" s="51"/>
      <c r="GM49" s="50"/>
      <c r="GN49" s="50"/>
      <c r="GO49" s="50"/>
      <c r="GQ49" s="50" t="s">
        <v>527</v>
      </c>
      <c r="KD49" s="15"/>
      <c r="KE49" s="51"/>
      <c r="KH49" s="15"/>
      <c r="KI49" s="15"/>
      <c r="KM49" s="56"/>
      <c r="KN49" s="56"/>
      <c r="KO49" s="56"/>
      <c r="KP49" s="56"/>
      <c r="KQ49" s="56"/>
      <c r="KR49" s="56"/>
      <c r="KS49" s="56"/>
      <c r="KT49" s="56"/>
      <c r="KU49" s="56"/>
      <c r="KV49" s="56"/>
      <c r="KW49" s="56"/>
    </row>
    <row r="50" spans="2:309">
      <c r="B50" s="49" t="s">
        <v>430</v>
      </c>
      <c r="C50" s="36" t="s">
        <v>427</v>
      </c>
      <c r="D50" s="50" t="s">
        <v>91</v>
      </c>
      <c r="E50" s="50" t="s">
        <v>454</v>
      </c>
      <c r="F50" s="51">
        <v>41715</v>
      </c>
      <c r="G50" s="51">
        <v>41715</v>
      </c>
      <c r="H50" s="50" t="s">
        <v>546</v>
      </c>
      <c r="I50" s="38">
        <v>1005</v>
      </c>
      <c r="J50" s="38">
        <v>1033</v>
      </c>
      <c r="K50" s="56"/>
      <c r="L50" s="50"/>
      <c r="M50" s="50"/>
      <c r="N50" s="56"/>
      <c r="O50" s="38">
        <v>1005</v>
      </c>
      <c r="P50" s="38">
        <v>1033</v>
      </c>
      <c r="Q50" s="56"/>
      <c r="R50" s="56"/>
      <c r="S50" s="56"/>
      <c r="T50" s="56"/>
      <c r="U50" s="56"/>
      <c r="V50" s="56"/>
      <c r="W50" s="56"/>
      <c r="X50" s="56"/>
      <c r="Y50" s="56"/>
      <c r="Z50" s="56"/>
      <c r="AA50" s="50" t="s">
        <v>92</v>
      </c>
      <c r="AB50" s="50" t="s">
        <v>457</v>
      </c>
      <c r="AC50" s="50" t="s">
        <v>94</v>
      </c>
      <c r="AD50" s="50" t="s">
        <v>95</v>
      </c>
      <c r="AE50" s="51">
        <v>41715</v>
      </c>
      <c r="AF50" s="53">
        <v>1</v>
      </c>
      <c r="AG50" s="53">
        <v>150</v>
      </c>
      <c r="AH50" s="53">
        <v>1</v>
      </c>
      <c r="AJ50" s="53">
        <v>150</v>
      </c>
      <c r="AL50" s="50" t="s">
        <v>426</v>
      </c>
      <c r="AM50" s="50" t="s">
        <v>546</v>
      </c>
      <c r="AN50" s="50" t="s">
        <v>547</v>
      </c>
      <c r="AO50" s="50">
        <v>3</v>
      </c>
      <c r="AP50" s="50">
        <v>4</v>
      </c>
      <c r="AQ50" s="50">
        <v>5</v>
      </c>
      <c r="AR50" s="50">
        <v>6</v>
      </c>
      <c r="AS50" s="50">
        <v>7</v>
      </c>
      <c r="AT50" s="50">
        <v>8</v>
      </c>
      <c r="AU50" s="50">
        <v>9</v>
      </c>
      <c r="AV50" s="50">
        <v>10</v>
      </c>
      <c r="AW50" s="50">
        <v>11</v>
      </c>
      <c r="AX50" s="50">
        <v>12</v>
      </c>
      <c r="AY50" s="50">
        <v>13</v>
      </c>
      <c r="AZ50" s="50">
        <v>14</v>
      </c>
      <c r="BA50" s="50">
        <v>15</v>
      </c>
      <c r="BC50" s="50" t="s">
        <v>97</v>
      </c>
      <c r="BN50" s="51"/>
      <c r="BP50" s="50"/>
      <c r="BQ50" s="49"/>
      <c r="BR50" s="50"/>
      <c r="BW50" s="53"/>
      <c r="BX50" s="50"/>
      <c r="CB50" s="51"/>
      <c r="CC50" s="50"/>
      <c r="CH50" s="53"/>
      <c r="CL50" s="50"/>
      <c r="CO50" s="49"/>
      <c r="CS50" s="53"/>
      <c r="CW50" s="50"/>
      <c r="CY50" s="49"/>
      <c r="DB50" s="51"/>
      <c r="DC50" s="50"/>
      <c r="DE50" s="49"/>
      <c r="DF50" s="50"/>
      <c r="DI50" s="50"/>
      <c r="DL50" s="49"/>
      <c r="DM50" s="49"/>
      <c r="DP50" s="50"/>
      <c r="DQ50" s="50"/>
      <c r="GH50" s="53"/>
      <c r="GI50" s="49"/>
      <c r="GJ50" s="51"/>
      <c r="GM50" s="50"/>
      <c r="GN50" s="50"/>
      <c r="GO50" s="50"/>
      <c r="GQ50" s="50" t="s">
        <v>527</v>
      </c>
      <c r="KD50" s="15"/>
      <c r="KE50" s="51"/>
      <c r="KH50" s="15"/>
      <c r="KI50" s="15"/>
      <c r="KM50" s="56"/>
      <c r="KN50" s="56"/>
      <c r="KO50" s="56"/>
      <c r="KP50" s="56"/>
      <c r="KQ50" s="56"/>
      <c r="KR50" s="56"/>
      <c r="KS50" s="56"/>
      <c r="KT50" s="56"/>
      <c r="KU50" s="56"/>
      <c r="KV50" s="56"/>
      <c r="KW50" s="56"/>
    </row>
    <row r="51" spans="2:309">
      <c r="B51" s="49" t="s">
        <v>430</v>
      </c>
      <c r="C51" s="36" t="s">
        <v>427</v>
      </c>
      <c r="D51" s="50" t="s">
        <v>91</v>
      </c>
      <c r="E51" s="50" t="s">
        <v>454</v>
      </c>
      <c r="F51" s="51">
        <v>41715</v>
      </c>
      <c r="G51" s="51">
        <v>41715</v>
      </c>
      <c r="H51" s="50" t="s">
        <v>546</v>
      </c>
      <c r="I51" s="38">
        <v>1005</v>
      </c>
      <c r="J51" s="38">
        <v>1033</v>
      </c>
      <c r="K51" s="56"/>
      <c r="L51" s="50"/>
      <c r="M51" s="50"/>
      <c r="N51" s="56"/>
      <c r="O51" s="38">
        <v>1005</v>
      </c>
      <c r="P51" s="38">
        <v>1033</v>
      </c>
      <c r="Q51" s="56"/>
      <c r="R51" s="56"/>
      <c r="S51" s="56"/>
      <c r="T51" s="56"/>
      <c r="U51" s="56"/>
      <c r="V51" s="56"/>
      <c r="W51" s="56"/>
      <c r="X51" s="56"/>
      <c r="Y51" s="56"/>
      <c r="Z51" s="56"/>
      <c r="AA51" s="50" t="s">
        <v>92</v>
      </c>
      <c r="AB51" s="50" t="s">
        <v>459</v>
      </c>
      <c r="AC51" s="50" t="s">
        <v>94</v>
      </c>
      <c r="AD51" s="50" t="s">
        <v>95</v>
      </c>
      <c r="AE51" s="51">
        <v>41715</v>
      </c>
      <c r="AF51" s="53">
        <v>1</v>
      </c>
      <c r="AG51" s="53">
        <v>200</v>
      </c>
      <c r="AH51" s="53">
        <v>1</v>
      </c>
      <c r="AJ51" s="53">
        <v>200</v>
      </c>
      <c r="AL51" s="50" t="s">
        <v>426</v>
      </c>
      <c r="AM51" s="50" t="s">
        <v>546</v>
      </c>
      <c r="AN51" s="50" t="s">
        <v>548</v>
      </c>
      <c r="AO51" s="50">
        <v>3</v>
      </c>
      <c r="AP51" s="50">
        <v>4</v>
      </c>
      <c r="AQ51" s="50">
        <v>5</v>
      </c>
      <c r="AR51" s="50">
        <v>6</v>
      </c>
      <c r="AS51" s="50">
        <v>7</v>
      </c>
      <c r="AT51" s="50">
        <v>8</v>
      </c>
      <c r="AU51" s="50">
        <v>9</v>
      </c>
      <c r="AV51" s="50">
        <v>10</v>
      </c>
      <c r="AW51" s="50">
        <v>11</v>
      </c>
      <c r="AX51" s="50">
        <v>12</v>
      </c>
      <c r="AY51" s="50">
        <v>13</v>
      </c>
      <c r="AZ51" s="50">
        <v>14</v>
      </c>
      <c r="BA51" s="50">
        <v>15</v>
      </c>
      <c r="BC51" s="50" t="s">
        <v>97</v>
      </c>
      <c r="BN51" s="51"/>
      <c r="BP51" s="50"/>
      <c r="BQ51" s="49"/>
      <c r="BR51" s="50"/>
      <c r="BW51" s="53"/>
      <c r="BX51" s="50"/>
      <c r="CB51" s="51"/>
      <c r="CC51" s="50"/>
      <c r="CH51" s="53"/>
      <c r="CL51" s="50"/>
      <c r="CO51" s="49"/>
      <c r="CS51" s="53"/>
      <c r="CW51" s="50"/>
      <c r="CY51" s="49"/>
      <c r="DB51" s="51"/>
      <c r="DC51" s="50"/>
      <c r="DE51" s="49"/>
      <c r="DF51" s="50"/>
      <c r="DI51" s="50"/>
      <c r="DL51" s="49"/>
      <c r="DM51" s="49"/>
      <c r="DP51" s="50"/>
      <c r="DQ51" s="50"/>
      <c r="GH51" s="53"/>
      <c r="GI51" s="49"/>
      <c r="GJ51" s="51"/>
      <c r="GM51" s="50"/>
      <c r="GN51" s="50"/>
      <c r="GO51" s="50"/>
      <c r="GQ51" s="50" t="s">
        <v>527</v>
      </c>
      <c r="KD51" s="15"/>
      <c r="KE51" s="51"/>
      <c r="KH51" s="15"/>
      <c r="KI51" s="15"/>
      <c r="KM51" s="56"/>
      <c r="KN51" s="56"/>
      <c r="KO51" s="56"/>
      <c r="KP51" s="56"/>
      <c r="KQ51" s="56"/>
      <c r="KR51" s="56"/>
      <c r="KS51" s="56"/>
      <c r="KT51" s="56"/>
      <c r="KU51" s="56"/>
      <c r="KV51" s="56"/>
      <c r="KW51" s="56"/>
    </row>
    <row r="52" spans="2:309">
      <c r="B52" s="49" t="s">
        <v>430</v>
      </c>
      <c r="C52" s="36" t="s">
        <v>427</v>
      </c>
      <c r="D52" s="50" t="s">
        <v>91</v>
      </c>
      <c r="E52" s="50" t="s">
        <v>454</v>
      </c>
      <c r="F52" s="51">
        <v>41715</v>
      </c>
      <c r="G52" s="51">
        <v>41715</v>
      </c>
      <c r="H52" s="50" t="s">
        <v>549</v>
      </c>
      <c r="I52" s="38">
        <v>1005</v>
      </c>
      <c r="J52" s="38">
        <v>1033</v>
      </c>
      <c r="K52" s="56"/>
      <c r="L52" s="50"/>
      <c r="M52" s="50"/>
      <c r="N52" s="56"/>
      <c r="O52" s="38">
        <v>1005</v>
      </c>
      <c r="P52" s="38">
        <v>1033</v>
      </c>
      <c r="Q52" s="56"/>
      <c r="R52" s="56"/>
      <c r="S52" s="56"/>
      <c r="T52" s="56"/>
      <c r="U52" s="56"/>
      <c r="V52" s="56"/>
      <c r="W52" s="56"/>
      <c r="X52" s="56"/>
      <c r="Y52" s="56"/>
      <c r="Z52" s="56"/>
      <c r="AA52" s="50" t="s">
        <v>92</v>
      </c>
      <c r="AB52" s="50" t="s">
        <v>93</v>
      </c>
      <c r="AC52" s="50" t="s">
        <v>94</v>
      </c>
      <c r="AD52" s="50" t="s">
        <v>95</v>
      </c>
      <c r="AE52" s="51">
        <v>41715</v>
      </c>
      <c r="AF52" s="53">
        <v>1</v>
      </c>
      <c r="AG52" s="53">
        <v>100</v>
      </c>
      <c r="AH52" s="53">
        <v>1</v>
      </c>
      <c r="AJ52" s="53">
        <v>100</v>
      </c>
      <c r="AL52" s="50" t="s">
        <v>426</v>
      </c>
      <c r="AM52" s="50" t="s">
        <v>549</v>
      </c>
      <c r="AN52" s="50" t="s">
        <v>503</v>
      </c>
      <c r="AO52" s="50">
        <v>3</v>
      </c>
      <c r="AP52" s="50">
        <v>4</v>
      </c>
      <c r="AQ52" s="50">
        <v>5</v>
      </c>
      <c r="AR52" s="50">
        <v>6</v>
      </c>
      <c r="AS52" s="50">
        <v>7</v>
      </c>
      <c r="AT52" s="50">
        <v>8</v>
      </c>
      <c r="AU52" s="50">
        <v>9</v>
      </c>
      <c r="AV52" s="50">
        <v>10</v>
      </c>
      <c r="AW52" s="50">
        <v>11</v>
      </c>
      <c r="AX52" s="50">
        <v>12</v>
      </c>
      <c r="AY52" s="50">
        <v>13</v>
      </c>
      <c r="AZ52" s="50">
        <v>14</v>
      </c>
      <c r="BA52" s="50">
        <v>15</v>
      </c>
      <c r="BN52" s="51"/>
      <c r="BP52" s="50"/>
      <c r="BQ52" s="49"/>
      <c r="BR52" s="50"/>
      <c r="BW52" s="53"/>
      <c r="BX52" s="50"/>
      <c r="CB52" s="51"/>
      <c r="CC52" s="50"/>
      <c r="CH52" s="53"/>
      <c r="CL52" s="50"/>
      <c r="CO52" s="49"/>
      <c r="CS52" s="53"/>
      <c r="CW52" s="50"/>
      <c r="CY52" s="49"/>
      <c r="DB52" s="51"/>
      <c r="DC52" s="50"/>
      <c r="DE52" s="49"/>
      <c r="DF52" s="50"/>
      <c r="DI52" s="50"/>
      <c r="DL52" s="49"/>
      <c r="DM52" s="49"/>
      <c r="DP52" s="50"/>
      <c r="DQ52" s="50"/>
      <c r="GH52" s="53"/>
      <c r="GI52" s="49"/>
      <c r="GJ52" s="51"/>
      <c r="GM52" s="50"/>
      <c r="GN52" s="50"/>
      <c r="GO52" s="50"/>
      <c r="GQ52" s="50" t="s">
        <v>527</v>
      </c>
      <c r="KD52" s="15"/>
      <c r="KE52" s="51"/>
      <c r="KH52" s="15"/>
      <c r="KI52" s="15"/>
      <c r="KM52" s="56"/>
      <c r="KN52" s="56"/>
      <c r="KO52" s="56"/>
      <c r="KP52" s="56"/>
      <c r="KQ52" s="56"/>
      <c r="KR52" s="56"/>
      <c r="KS52" s="56"/>
      <c r="KT52" s="56"/>
      <c r="KU52" s="56"/>
      <c r="KV52" s="56"/>
      <c r="KW52" s="56"/>
    </row>
    <row r="53" spans="2:309">
      <c r="B53" s="49" t="s">
        <v>430</v>
      </c>
      <c r="C53" s="36" t="s">
        <v>427</v>
      </c>
      <c r="D53" s="50" t="s">
        <v>91</v>
      </c>
      <c r="E53" s="50" t="s">
        <v>454</v>
      </c>
      <c r="F53" s="51">
        <v>41715</v>
      </c>
      <c r="G53" s="51">
        <v>41715</v>
      </c>
      <c r="H53" s="50" t="s">
        <v>549</v>
      </c>
      <c r="I53" s="38">
        <v>1005</v>
      </c>
      <c r="J53" s="38">
        <v>1033</v>
      </c>
      <c r="K53" s="56"/>
      <c r="L53" s="50"/>
      <c r="M53" s="50"/>
      <c r="N53" s="56"/>
      <c r="O53" s="38">
        <v>1005</v>
      </c>
      <c r="P53" s="38">
        <v>1033</v>
      </c>
      <c r="Q53" s="56"/>
      <c r="R53" s="56"/>
      <c r="S53" s="56"/>
      <c r="T53" s="56"/>
      <c r="U53" s="56"/>
      <c r="V53" s="56"/>
      <c r="W53" s="56"/>
      <c r="X53" s="56"/>
      <c r="Y53" s="56"/>
      <c r="Z53" s="56"/>
      <c r="AA53" s="50" t="s">
        <v>516</v>
      </c>
      <c r="AB53" s="50" t="s">
        <v>550</v>
      </c>
      <c r="AC53" s="50" t="s">
        <v>94</v>
      </c>
      <c r="AD53" s="50" t="s">
        <v>95</v>
      </c>
      <c r="AE53" s="51">
        <v>41715</v>
      </c>
      <c r="AF53" s="53">
        <v>1</v>
      </c>
      <c r="AG53" s="53">
        <v>10</v>
      </c>
      <c r="AH53" s="53">
        <v>1</v>
      </c>
      <c r="AJ53" s="53">
        <v>10</v>
      </c>
      <c r="AL53" s="50" t="s">
        <v>426</v>
      </c>
      <c r="AM53" s="50" t="s">
        <v>549</v>
      </c>
      <c r="AN53" s="50" t="s">
        <v>547</v>
      </c>
      <c r="AO53" s="50">
        <v>3</v>
      </c>
      <c r="AP53" s="50">
        <v>4</v>
      </c>
      <c r="AQ53" s="50">
        <v>5</v>
      </c>
      <c r="AR53" s="50">
        <v>6</v>
      </c>
      <c r="AS53" s="50">
        <v>7</v>
      </c>
      <c r="AT53" s="50">
        <v>8</v>
      </c>
      <c r="AU53" s="50">
        <v>9</v>
      </c>
      <c r="AV53" s="50">
        <v>10</v>
      </c>
      <c r="AW53" s="50">
        <v>11</v>
      </c>
      <c r="AX53" s="50">
        <v>12</v>
      </c>
      <c r="AY53" s="50">
        <v>13</v>
      </c>
      <c r="AZ53" s="50">
        <v>14</v>
      </c>
      <c r="BA53" s="50">
        <v>15</v>
      </c>
      <c r="BN53" s="51"/>
      <c r="BP53" s="50"/>
      <c r="BQ53" s="49"/>
      <c r="BR53" s="50"/>
      <c r="BW53" s="53"/>
      <c r="BX53" s="50"/>
      <c r="CB53" s="51"/>
      <c r="CC53" s="50"/>
      <c r="CH53" s="53"/>
      <c r="CL53" s="50"/>
      <c r="CO53" s="49"/>
      <c r="CS53" s="53"/>
      <c r="CW53" s="50"/>
      <c r="CY53" s="49"/>
      <c r="DB53" s="51"/>
      <c r="DC53" s="50"/>
      <c r="DE53" s="49"/>
      <c r="DF53" s="50"/>
      <c r="DI53" s="50"/>
      <c r="DL53" s="49"/>
      <c r="DM53" s="49"/>
      <c r="DP53" s="50"/>
      <c r="DQ53" s="50"/>
      <c r="GH53" s="53"/>
      <c r="GI53" s="49"/>
      <c r="GJ53" s="51"/>
      <c r="GM53" s="50"/>
      <c r="GN53" s="50"/>
      <c r="GO53" s="50"/>
      <c r="GQ53" s="50" t="s">
        <v>527</v>
      </c>
      <c r="KD53" s="15"/>
      <c r="KE53" s="51"/>
      <c r="KH53" s="15"/>
      <c r="KI53" s="15"/>
      <c r="KM53" s="56"/>
      <c r="KN53" s="56"/>
      <c r="KO53" s="56"/>
      <c r="KP53" s="56"/>
      <c r="KQ53" s="56"/>
      <c r="KR53" s="56"/>
      <c r="KS53" s="56"/>
      <c r="KT53" s="56"/>
      <c r="KU53" s="56"/>
      <c r="KV53" s="56"/>
      <c r="KW53" s="56"/>
    </row>
    <row r="54" spans="2:309">
      <c r="B54" s="49" t="s">
        <v>430</v>
      </c>
      <c r="C54" s="36" t="s">
        <v>427</v>
      </c>
      <c r="D54" s="50" t="s">
        <v>91</v>
      </c>
      <c r="E54" s="50" t="s">
        <v>454</v>
      </c>
      <c r="H54" s="50" t="s">
        <v>551</v>
      </c>
      <c r="I54" s="38">
        <v>1005</v>
      </c>
      <c r="J54" s="38">
        <v>1033</v>
      </c>
      <c r="K54" s="56"/>
      <c r="L54" s="50"/>
      <c r="M54" s="50"/>
      <c r="N54" s="56"/>
      <c r="O54" s="56"/>
      <c r="P54" s="56"/>
      <c r="Q54" s="56"/>
      <c r="R54" s="56"/>
      <c r="S54" s="56"/>
      <c r="T54" s="56"/>
      <c r="U54" s="56"/>
      <c r="V54" s="56"/>
      <c r="W54" s="56"/>
      <c r="X54" s="56"/>
      <c r="Y54" s="56"/>
      <c r="Z54" s="56"/>
      <c r="AA54" s="50" t="s">
        <v>92</v>
      </c>
      <c r="AB54" s="50" t="s">
        <v>93</v>
      </c>
      <c r="AC54" s="50" t="s">
        <v>94</v>
      </c>
      <c r="AD54" s="50" t="s">
        <v>95</v>
      </c>
      <c r="AE54" s="51">
        <v>41715</v>
      </c>
      <c r="AF54" s="53">
        <v>1</v>
      </c>
      <c r="AG54" s="53">
        <v>1000</v>
      </c>
      <c r="AH54" s="53">
        <v>1</v>
      </c>
      <c r="AJ54" s="53">
        <v>1000</v>
      </c>
      <c r="AL54" s="50" t="s">
        <v>426</v>
      </c>
      <c r="AM54" s="50" t="s">
        <v>551</v>
      </c>
      <c r="AN54" s="50" t="s">
        <v>503</v>
      </c>
      <c r="AO54" s="50">
        <v>3</v>
      </c>
      <c r="AP54" s="50">
        <v>4</v>
      </c>
      <c r="AQ54" s="50">
        <v>5</v>
      </c>
      <c r="AR54" s="50">
        <v>6</v>
      </c>
      <c r="AS54" s="50">
        <v>7</v>
      </c>
      <c r="AT54" s="50">
        <v>8</v>
      </c>
      <c r="AU54" s="50">
        <v>9</v>
      </c>
      <c r="AV54" s="50">
        <v>10</v>
      </c>
      <c r="AW54" s="50">
        <v>11</v>
      </c>
      <c r="AX54" s="50">
        <v>12</v>
      </c>
      <c r="AY54" s="50">
        <v>13</v>
      </c>
      <c r="AZ54" s="50">
        <v>14</v>
      </c>
      <c r="BA54" s="50">
        <v>15</v>
      </c>
      <c r="BL54" s="58" t="s">
        <v>552</v>
      </c>
      <c r="BM54" s="58" t="s">
        <v>553</v>
      </c>
      <c r="BN54" s="50"/>
      <c r="BO54" s="51">
        <v>41471</v>
      </c>
      <c r="CI54" s="53"/>
      <c r="CL54" s="50"/>
      <c r="CP54" s="49"/>
      <c r="CS54" s="50"/>
      <c r="CT54" s="53"/>
      <c r="CW54" s="50"/>
      <c r="CZ54" s="49"/>
      <c r="DC54" s="51"/>
      <c r="DF54" s="49"/>
      <c r="DI54" s="50"/>
      <c r="DM54" s="49"/>
      <c r="DN54" s="49"/>
      <c r="DP54" s="50"/>
      <c r="DQ54" s="50"/>
      <c r="GI54" s="53"/>
      <c r="GJ54" s="49"/>
      <c r="GK54" s="51"/>
      <c r="GM54" s="50"/>
      <c r="GN54" s="50"/>
      <c r="GO54" s="50"/>
      <c r="GQ54" s="50" t="s">
        <v>527</v>
      </c>
      <c r="KD54" s="15"/>
      <c r="KE54" s="51"/>
      <c r="KH54" s="15"/>
      <c r="KI54" s="15"/>
      <c r="KM54" s="56"/>
      <c r="KN54" s="56"/>
      <c r="KO54" s="56"/>
      <c r="KP54" s="56"/>
      <c r="KQ54" s="56"/>
      <c r="KR54" s="56"/>
      <c r="KS54" s="56"/>
      <c r="KT54" s="56"/>
      <c r="KU54" s="56"/>
      <c r="KV54" s="56"/>
      <c r="KW54" s="56"/>
    </row>
    <row r="55" spans="2:309">
      <c r="B55" s="49" t="s">
        <v>430</v>
      </c>
      <c r="C55" s="36" t="s">
        <v>427</v>
      </c>
      <c r="D55" s="50" t="s">
        <v>91</v>
      </c>
      <c r="E55" s="50" t="s">
        <v>454</v>
      </c>
      <c r="H55" s="50" t="s">
        <v>554</v>
      </c>
      <c r="I55" s="38">
        <v>1005</v>
      </c>
      <c r="J55" s="38">
        <v>1033</v>
      </c>
      <c r="K55" s="56"/>
      <c r="L55" s="50"/>
      <c r="M55" s="50"/>
      <c r="N55" s="56"/>
      <c r="O55" s="56"/>
      <c r="P55" s="56"/>
      <c r="Q55" s="56"/>
      <c r="R55" s="56"/>
      <c r="S55" s="56"/>
      <c r="T55" s="56"/>
      <c r="U55" s="56"/>
      <c r="V55" s="56"/>
      <c r="W55" s="56"/>
      <c r="X55" s="56"/>
      <c r="Y55" s="56"/>
      <c r="Z55" s="56"/>
      <c r="AA55" s="50" t="s">
        <v>92</v>
      </c>
      <c r="AB55" s="50" t="s">
        <v>93</v>
      </c>
      <c r="AC55" s="50" t="s">
        <v>94</v>
      </c>
      <c r="AD55" s="50" t="s">
        <v>95</v>
      </c>
      <c r="AE55" s="51">
        <v>41715</v>
      </c>
      <c r="AF55" s="53">
        <v>1</v>
      </c>
      <c r="AG55" s="53">
        <v>1000</v>
      </c>
      <c r="AH55" s="53">
        <v>1</v>
      </c>
      <c r="AJ55" s="53">
        <v>1000</v>
      </c>
      <c r="AL55" s="50" t="s">
        <v>426</v>
      </c>
      <c r="AM55" s="50" t="s">
        <v>554</v>
      </c>
      <c r="AN55" s="50" t="s">
        <v>503</v>
      </c>
      <c r="AO55" s="50">
        <v>3</v>
      </c>
      <c r="AP55" s="50">
        <v>4</v>
      </c>
      <c r="AQ55" s="50">
        <v>5</v>
      </c>
      <c r="AR55" s="50">
        <v>6</v>
      </c>
      <c r="AS55" s="50">
        <v>7</v>
      </c>
      <c r="AT55" s="50">
        <v>8</v>
      </c>
      <c r="AU55" s="50">
        <v>9</v>
      </c>
      <c r="AV55" s="50">
        <v>10</v>
      </c>
      <c r="AW55" s="50">
        <v>11</v>
      </c>
      <c r="AX55" s="50">
        <v>12</v>
      </c>
      <c r="AY55" s="50">
        <v>13</v>
      </c>
      <c r="AZ55" s="50">
        <v>14</v>
      </c>
      <c r="BA55" s="50">
        <v>15</v>
      </c>
      <c r="BL55" s="58" t="s">
        <v>509</v>
      </c>
      <c r="BM55" s="58" t="s">
        <v>553</v>
      </c>
      <c r="BN55" s="50"/>
      <c r="BO55" s="51">
        <v>41346</v>
      </c>
      <c r="CI55" s="53"/>
      <c r="CL55" s="50"/>
      <c r="CP55" s="49"/>
      <c r="CS55" s="50"/>
      <c r="CT55" s="53"/>
      <c r="CW55" s="50"/>
      <c r="CZ55" s="49"/>
      <c r="DC55" s="51"/>
      <c r="DF55" s="49"/>
      <c r="DI55" s="50"/>
      <c r="DM55" s="49"/>
      <c r="DN55" s="49"/>
      <c r="DP55" s="50"/>
      <c r="DQ55" s="50"/>
      <c r="GI55" s="53"/>
      <c r="GJ55" s="49"/>
      <c r="GK55" s="51"/>
      <c r="GM55" s="50"/>
      <c r="GN55" s="50"/>
      <c r="GO55" s="50"/>
      <c r="GQ55" s="50" t="s">
        <v>527</v>
      </c>
      <c r="KD55" s="15"/>
      <c r="KE55" s="51"/>
      <c r="KH55" s="15"/>
      <c r="KI55" s="15"/>
      <c r="KM55" s="56"/>
      <c r="KN55" s="56"/>
      <c r="KO55" s="56"/>
      <c r="KP55" s="56"/>
      <c r="KQ55" s="56"/>
      <c r="KR55" s="56"/>
      <c r="KS55" s="56"/>
      <c r="KT55" s="56"/>
      <c r="KU55" s="56"/>
      <c r="KV55" s="56"/>
      <c r="KW55" s="56"/>
    </row>
    <row r="56" spans="2:309">
      <c r="B56" s="49" t="s">
        <v>430</v>
      </c>
      <c r="C56" s="36" t="s">
        <v>427</v>
      </c>
      <c r="D56" s="50" t="s">
        <v>91</v>
      </c>
      <c r="E56" s="50" t="s">
        <v>454</v>
      </c>
      <c r="H56" s="50" t="s">
        <v>555</v>
      </c>
      <c r="I56" s="38">
        <v>1005</v>
      </c>
      <c r="J56" s="38">
        <v>1033</v>
      </c>
      <c r="K56" s="56"/>
      <c r="L56" s="50"/>
      <c r="M56" s="50"/>
      <c r="N56" s="56"/>
      <c r="O56" s="56"/>
      <c r="P56" s="56"/>
      <c r="Q56" s="56"/>
      <c r="R56" s="56"/>
      <c r="S56" s="56"/>
      <c r="T56" s="56"/>
      <c r="U56" s="56"/>
      <c r="V56" s="56"/>
      <c r="W56" s="56"/>
      <c r="X56" s="56"/>
      <c r="Y56" s="56"/>
      <c r="Z56" s="56"/>
      <c r="AA56" s="50" t="s">
        <v>92</v>
      </c>
      <c r="AB56" s="50" t="s">
        <v>93</v>
      </c>
      <c r="AC56" s="50" t="s">
        <v>94</v>
      </c>
      <c r="AD56" s="50" t="s">
        <v>95</v>
      </c>
      <c r="AE56" s="51">
        <v>41715</v>
      </c>
      <c r="AF56" s="53">
        <v>1</v>
      </c>
      <c r="AG56" s="53">
        <v>1000</v>
      </c>
      <c r="AH56" s="53">
        <v>1</v>
      </c>
      <c r="AJ56" s="53">
        <v>1000</v>
      </c>
      <c r="AL56" s="50" t="s">
        <v>426</v>
      </c>
      <c r="AM56" s="50" t="s">
        <v>555</v>
      </c>
      <c r="AN56" s="50" t="s">
        <v>503</v>
      </c>
      <c r="AO56" s="50">
        <v>3</v>
      </c>
      <c r="AP56" s="50">
        <v>4</v>
      </c>
      <c r="AQ56" s="50">
        <v>5</v>
      </c>
      <c r="AR56" s="50">
        <v>6</v>
      </c>
      <c r="AS56" s="50">
        <v>7</v>
      </c>
      <c r="AT56" s="50">
        <v>8</v>
      </c>
      <c r="AU56" s="50">
        <v>9</v>
      </c>
      <c r="AV56" s="50">
        <v>10</v>
      </c>
      <c r="AW56" s="50">
        <v>11</v>
      </c>
      <c r="AX56" s="50">
        <v>12</v>
      </c>
      <c r="AY56" s="50">
        <v>13</v>
      </c>
      <c r="AZ56" s="50">
        <v>14</v>
      </c>
      <c r="BA56" s="50">
        <v>15</v>
      </c>
      <c r="BL56" s="58" t="s">
        <v>509</v>
      </c>
      <c r="BM56" s="58" t="s">
        <v>553</v>
      </c>
      <c r="BN56" s="50"/>
      <c r="BO56" s="51">
        <v>41346</v>
      </c>
      <c r="CI56" s="53"/>
      <c r="CL56" s="50"/>
      <c r="CP56" s="49"/>
      <c r="CS56" s="50"/>
      <c r="CT56" s="53"/>
      <c r="CW56" s="50"/>
      <c r="CZ56" s="49"/>
      <c r="DC56" s="51"/>
      <c r="DF56" s="49"/>
      <c r="DI56" s="50"/>
      <c r="DM56" s="49"/>
      <c r="DN56" s="49"/>
      <c r="DP56" s="50"/>
      <c r="DQ56" s="50"/>
      <c r="GI56" s="53"/>
      <c r="GJ56" s="49"/>
      <c r="GK56" s="51"/>
      <c r="GM56" s="50"/>
      <c r="GN56" s="50"/>
      <c r="GO56" s="50"/>
      <c r="GQ56" s="50" t="s">
        <v>527</v>
      </c>
      <c r="KD56" s="15"/>
      <c r="KE56" s="51"/>
      <c r="KH56" s="15"/>
      <c r="KI56" s="15"/>
      <c r="KM56" s="56"/>
      <c r="KN56" s="56"/>
      <c r="KO56" s="56"/>
      <c r="KP56" s="56"/>
      <c r="KQ56" s="56"/>
      <c r="KR56" s="56"/>
      <c r="KS56" s="56"/>
      <c r="KT56" s="56"/>
      <c r="KU56" s="56"/>
      <c r="KV56" s="56"/>
      <c r="KW56" s="56"/>
    </row>
    <row r="57" spans="2:309">
      <c r="B57" s="49" t="s">
        <v>430</v>
      </c>
      <c r="C57" s="36" t="s">
        <v>427</v>
      </c>
      <c r="D57" s="36" t="s">
        <v>556</v>
      </c>
      <c r="E57" s="36" t="s">
        <v>454</v>
      </c>
      <c r="F57" s="36"/>
      <c r="G57" s="36"/>
      <c r="H57" s="50" t="s">
        <v>557</v>
      </c>
      <c r="I57" s="38">
        <v>1005</v>
      </c>
      <c r="J57" s="38">
        <v>1033</v>
      </c>
      <c r="K57" s="36"/>
      <c r="L57" s="36"/>
      <c r="M57" s="36"/>
      <c r="N57" s="36"/>
      <c r="O57" s="38"/>
      <c r="P57" s="38"/>
      <c r="Q57" s="36"/>
      <c r="R57" s="36"/>
      <c r="S57" s="36"/>
      <c r="T57" s="36"/>
      <c r="U57" s="36"/>
      <c r="V57" s="36"/>
      <c r="W57" s="36"/>
      <c r="X57" s="36"/>
      <c r="Y57" s="36"/>
      <c r="Z57" s="36"/>
      <c r="AA57" s="36" t="s">
        <v>92</v>
      </c>
      <c r="AB57" s="36" t="s">
        <v>481</v>
      </c>
      <c r="AC57" s="36" t="s">
        <v>94</v>
      </c>
      <c r="AD57" s="36" t="s">
        <v>95</v>
      </c>
      <c r="AE57" s="51">
        <v>41715</v>
      </c>
      <c r="AF57" s="39">
        <v>1</v>
      </c>
      <c r="AG57" s="39">
        <v>1000</v>
      </c>
      <c r="AH57" s="39">
        <v>1</v>
      </c>
      <c r="AI57" s="36"/>
      <c r="AJ57" s="39">
        <v>1000</v>
      </c>
      <c r="AK57" s="36"/>
      <c r="AL57" s="36" t="s">
        <v>426</v>
      </c>
      <c r="AM57" s="50" t="s">
        <v>557</v>
      </c>
      <c r="AN57" s="36" t="s">
        <v>503</v>
      </c>
      <c r="AO57" s="36">
        <v>3</v>
      </c>
      <c r="AP57" s="36">
        <v>4</v>
      </c>
      <c r="AQ57" s="36">
        <v>5</v>
      </c>
      <c r="AR57" s="36">
        <v>6</v>
      </c>
      <c r="AS57" s="36">
        <v>7</v>
      </c>
      <c r="AT57" s="36">
        <v>8</v>
      </c>
      <c r="AU57" s="36">
        <v>9</v>
      </c>
      <c r="AV57" s="36">
        <v>10</v>
      </c>
      <c r="AW57" s="36">
        <v>11</v>
      </c>
      <c r="AX57" s="36">
        <v>12</v>
      </c>
      <c r="AY57" s="36">
        <v>13</v>
      </c>
      <c r="AZ57" s="36">
        <v>14</v>
      </c>
      <c r="BA57" s="36">
        <v>15</v>
      </c>
      <c r="BB57" s="36"/>
      <c r="BC57" s="36"/>
      <c r="BD57" s="36"/>
      <c r="BE57" s="36"/>
      <c r="BF57" s="36"/>
      <c r="BG57" s="36"/>
      <c r="BH57" s="36"/>
      <c r="BI57" s="64"/>
      <c r="BJ57" s="64"/>
      <c r="BK57" s="64"/>
      <c r="BL57" s="64"/>
      <c r="BM57" s="64"/>
      <c r="BN57" s="36"/>
      <c r="BO57" s="36"/>
      <c r="BP57" s="36"/>
      <c r="BQ57" s="36"/>
      <c r="BR57" s="36"/>
      <c r="BS57" s="36"/>
      <c r="BT57" s="36"/>
      <c r="BU57" s="36"/>
      <c r="BV57" s="36"/>
      <c r="BW57" s="36"/>
      <c r="BX57" s="36"/>
      <c r="BY57" s="36"/>
      <c r="BZ57" s="36"/>
      <c r="CA57" s="36"/>
      <c r="CB57" s="36"/>
      <c r="CC57" s="36"/>
      <c r="CD57" s="36"/>
      <c r="CE57" s="36"/>
      <c r="CF57" s="36"/>
      <c r="CG57" s="36"/>
      <c r="CH57" s="36"/>
      <c r="CI57" s="36"/>
      <c r="CJ57" s="36"/>
      <c r="CK57" s="36"/>
      <c r="CL57" s="36"/>
      <c r="CM57" s="36"/>
      <c r="CN57" s="36"/>
      <c r="CO57" s="36"/>
      <c r="CP57" s="36"/>
      <c r="CQ57" s="36"/>
      <c r="CR57" s="36"/>
      <c r="CS57" s="36"/>
      <c r="CT57" s="36"/>
      <c r="CU57" s="36"/>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c r="DV57" s="36"/>
      <c r="DW57" s="36"/>
      <c r="DX57" s="36"/>
      <c r="DY57" s="36"/>
      <c r="DZ57" s="36"/>
      <c r="EA57" s="36"/>
      <c r="EB57" s="36"/>
      <c r="EC57" s="36"/>
      <c r="ED57" s="36"/>
      <c r="EE57" s="36"/>
      <c r="EF57" s="36"/>
      <c r="EG57" s="36"/>
      <c r="EH57" s="36"/>
      <c r="EI57" s="36"/>
      <c r="EJ57" s="36"/>
      <c r="EK57" s="36"/>
      <c r="EL57" s="36"/>
      <c r="EM57" s="36"/>
      <c r="EN57" s="36"/>
      <c r="EO57" s="36"/>
      <c r="EP57" s="36"/>
      <c r="EQ57" s="36"/>
      <c r="ER57" s="36"/>
      <c r="ES57" s="36"/>
      <c r="ET57" s="36"/>
      <c r="EU57" s="36"/>
      <c r="EV57" s="36"/>
      <c r="EW57" s="36"/>
      <c r="EX57" s="36"/>
      <c r="EY57" s="36"/>
      <c r="EZ57" s="36"/>
      <c r="FA57" s="36"/>
      <c r="FB57" s="36"/>
      <c r="FC57" s="36"/>
      <c r="FD57" s="36"/>
      <c r="FE57" s="36"/>
      <c r="FF57" s="36"/>
      <c r="FG57" s="36"/>
      <c r="FH57" s="36"/>
      <c r="FI57" s="36"/>
      <c r="FK57" s="36"/>
      <c r="FL57" s="36"/>
      <c r="FM57" s="36"/>
      <c r="FN57" s="36"/>
      <c r="FO57" s="36"/>
      <c r="FP57" s="36"/>
      <c r="FQ57" s="36"/>
      <c r="FR57" s="36"/>
      <c r="FS57" s="36"/>
      <c r="FT57" s="36"/>
      <c r="FU57" s="36"/>
      <c r="FV57" s="36"/>
      <c r="FW57" s="36"/>
      <c r="FX57" s="36"/>
      <c r="FY57" s="36"/>
      <c r="FZ57" s="36"/>
      <c r="GA57" s="36"/>
      <c r="GB57" s="36"/>
      <c r="GC57" s="36"/>
      <c r="GD57" s="36"/>
      <c r="GE57" s="36"/>
      <c r="GF57" s="36"/>
      <c r="GG57" s="36"/>
      <c r="GH57" s="36"/>
      <c r="GI57" s="36"/>
      <c r="GJ57" s="36"/>
      <c r="GK57" s="36"/>
      <c r="GL57" s="36"/>
      <c r="GM57" s="36"/>
      <c r="GN57" s="36"/>
      <c r="GO57" s="36"/>
      <c r="GP57" s="36"/>
      <c r="GQ57" s="36" t="s">
        <v>527</v>
      </c>
      <c r="GR57" s="36"/>
      <c r="GS57" s="36"/>
      <c r="GT57" s="36"/>
      <c r="GU57" s="36"/>
      <c r="GV57" s="36"/>
      <c r="GW57" s="36"/>
      <c r="GX57" s="36"/>
      <c r="GY57" s="36"/>
      <c r="GZ57" s="36"/>
      <c r="HA57" s="36"/>
      <c r="HB57" s="36"/>
      <c r="HC57" s="36"/>
      <c r="HD57" s="36"/>
      <c r="HE57" s="36"/>
      <c r="HF57" s="36"/>
      <c r="HG57" s="36"/>
      <c r="HH57" s="36"/>
      <c r="HI57" s="36"/>
      <c r="HJ57" s="36"/>
      <c r="HK57" s="36"/>
      <c r="HL57" s="36"/>
      <c r="HM57" s="36"/>
      <c r="HN57" s="36"/>
      <c r="HO57" s="36"/>
      <c r="HP57" s="36"/>
      <c r="HQ57" s="36"/>
      <c r="HR57" s="36"/>
      <c r="HS57" s="36"/>
      <c r="HT57" s="36"/>
      <c r="HU57" s="36"/>
      <c r="HV57" s="36"/>
      <c r="HW57" s="36"/>
      <c r="HX57" s="36"/>
      <c r="HY57" s="36"/>
      <c r="HZ57" s="36"/>
      <c r="IA57" s="36"/>
      <c r="IB57" s="36"/>
      <c r="IC57" s="36"/>
      <c r="ID57" s="36"/>
      <c r="IE57" s="36"/>
      <c r="IF57" s="36"/>
      <c r="IG57" s="36"/>
      <c r="IH57" s="36"/>
      <c r="II57" s="36"/>
      <c r="IJ57" s="36"/>
      <c r="IK57" s="36"/>
      <c r="IL57" s="36"/>
      <c r="IM57" s="36"/>
      <c r="IN57" s="36"/>
      <c r="IO57" s="36"/>
      <c r="IP57" s="36"/>
      <c r="IQ57" s="36"/>
      <c r="IR57" s="36"/>
      <c r="IS57" s="36"/>
      <c r="IT57" s="36"/>
      <c r="IU57" s="36"/>
      <c r="IV57" s="36"/>
      <c r="IW57" s="36"/>
      <c r="IX57" s="36"/>
      <c r="IY57" s="36"/>
      <c r="IZ57" s="36"/>
      <c r="JA57" s="36"/>
      <c r="JB57" s="36"/>
      <c r="JC57" s="36"/>
      <c r="JD57" s="36"/>
      <c r="JE57" s="36"/>
      <c r="JF57" s="36"/>
      <c r="JG57" s="36"/>
      <c r="JH57" s="36"/>
      <c r="JI57" s="36"/>
      <c r="JJ57" s="36"/>
      <c r="JK57" s="36"/>
      <c r="JL57" s="36"/>
      <c r="JM57" s="36"/>
      <c r="JN57" s="36"/>
      <c r="JO57" s="36"/>
      <c r="JP57" s="36"/>
      <c r="JQ57" s="36"/>
      <c r="JR57" s="36"/>
      <c r="JS57" s="36"/>
      <c r="JT57" s="36"/>
      <c r="JU57" s="36"/>
      <c r="JV57" s="36"/>
      <c r="JW57" s="36"/>
      <c r="JX57" s="36"/>
      <c r="JY57" s="36"/>
      <c r="JZ57" s="36"/>
      <c r="KA57" s="36"/>
      <c r="KD57" s="15"/>
      <c r="KE57" s="51"/>
      <c r="KH57" s="15"/>
      <c r="KI57" s="15"/>
      <c r="KM57" s="56"/>
      <c r="KN57" s="56"/>
      <c r="KO57" s="56"/>
      <c r="KP57" s="56"/>
      <c r="KQ57" s="56"/>
      <c r="KR57" s="56"/>
      <c r="KS57" s="56"/>
      <c r="KT57" s="56"/>
      <c r="KU57" s="56"/>
      <c r="KV57" s="56"/>
      <c r="KW57" s="56"/>
    </row>
    <row r="58" spans="2:309">
      <c r="B58" s="49" t="s">
        <v>430</v>
      </c>
      <c r="C58" s="36" t="s">
        <v>427</v>
      </c>
      <c r="D58" s="36" t="s">
        <v>556</v>
      </c>
      <c r="E58" s="36" t="s">
        <v>454</v>
      </c>
      <c r="F58" s="36"/>
      <c r="G58" s="36"/>
      <c r="H58" s="50" t="s">
        <v>558</v>
      </c>
      <c r="I58" s="38">
        <v>1005</v>
      </c>
      <c r="J58" s="38">
        <v>1033</v>
      </c>
      <c r="K58" s="36"/>
      <c r="L58" s="36"/>
      <c r="M58" s="36"/>
      <c r="N58" s="36"/>
      <c r="O58" s="38">
        <v>1005</v>
      </c>
      <c r="P58" s="38">
        <v>1033</v>
      </c>
      <c r="Q58" s="36"/>
      <c r="R58" s="36"/>
      <c r="S58" s="36"/>
      <c r="T58" s="36"/>
      <c r="U58" s="36"/>
      <c r="V58" s="36"/>
      <c r="W58" s="36"/>
      <c r="X58" s="36"/>
      <c r="Y58" s="36"/>
      <c r="Z58" s="36"/>
      <c r="AA58" s="36" t="s">
        <v>559</v>
      </c>
      <c r="AB58" s="36" t="s">
        <v>481</v>
      </c>
      <c r="AC58" s="36" t="s">
        <v>94</v>
      </c>
      <c r="AD58" s="36" t="s">
        <v>95</v>
      </c>
      <c r="AE58" s="51">
        <v>41715</v>
      </c>
      <c r="AF58" s="39">
        <v>1</v>
      </c>
      <c r="AG58" s="39">
        <v>1000</v>
      </c>
      <c r="AH58" s="39">
        <v>1</v>
      </c>
      <c r="AI58" s="36"/>
      <c r="AJ58" s="39">
        <v>1000</v>
      </c>
      <c r="AK58" s="36"/>
      <c r="AL58" s="36" t="s">
        <v>426</v>
      </c>
      <c r="AM58" s="50" t="s">
        <v>558</v>
      </c>
      <c r="AN58" s="36" t="s">
        <v>503</v>
      </c>
      <c r="AO58" s="36">
        <v>3</v>
      </c>
      <c r="AP58" s="36">
        <v>4</v>
      </c>
      <c r="AQ58" s="36">
        <v>5</v>
      </c>
      <c r="AR58" s="36">
        <v>6</v>
      </c>
      <c r="AS58" s="36">
        <v>7</v>
      </c>
      <c r="AT58" s="36">
        <v>8</v>
      </c>
      <c r="AU58" s="36">
        <v>9</v>
      </c>
      <c r="AV58" s="36">
        <v>10</v>
      </c>
      <c r="AW58" s="36">
        <v>11</v>
      </c>
      <c r="AX58" s="36">
        <v>12</v>
      </c>
      <c r="AY58" s="36">
        <v>13</v>
      </c>
      <c r="AZ58" s="36">
        <v>14</v>
      </c>
      <c r="BA58" s="36">
        <v>15</v>
      </c>
      <c r="BB58" s="36"/>
      <c r="BC58" s="36"/>
      <c r="BD58" s="36"/>
      <c r="BE58" s="36"/>
      <c r="BF58" s="36"/>
      <c r="BG58" s="36"/>
      <c r="BH58" s="36"/>
      <c r="BI58" s="64"/>
      <c r="BJ58" s="64"/>
      <c r="BK58" s="64"/>
      <c r="BL58" s="64"/>
      <c r="BM58" s="64"/>
      <c r="BN58" s="36"/>
      <c r="BO58" s="36"/>
      <c r="BP58" s="36"/>
      <c r="BQ58" s="36"/>
      <c r="BR58" s="36"/>
      <c r="BS58" s="36"/>
      <c r="BT58" s="36"/>
      <c r="BU58" s="36"/>
      <c r="BV58" s="36"/>
      <c r="BW58" s="36"/>
      <c r="BX58" s="36"/>
      <c r="BY58" s="36"/>
      <c r="BZ58" s="36"/>
      <c r="CA58" s="36"/>
      <c r="CB58" s="36"/>
      <c r="CC58" s="36"/>
      <c r="CD58" s="36"/>
      <c r="CE58" s="36"/>
      <c r="CF58" s="36"/>
      <c r="CG58" s="36"/>
      <c r="CH58" s="36"/>
      <c r="CI58" s="36"/>
      <c r="CJ58" s="36"/>
      <c r="CK58" s="36"/>
      <c r="CL58" s="36"/>
      <c r="CM58" s="36"/>
      <c r="CN58" s="36"/>
      <c r="CO58" s="36"/>
      <c r="CP58" s="36"/>
      <c r="CQ58" s="36"/>
      <c r="CR58" s="36"/>
      <c r="CS58" s="36"/>
      <c r="CT58" s="36"/>
      <c r="CU58" s="36"/>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c r="DV58" s="36"/>
      <c r="DW58" s="36"/>
      <c r="DX58" s="36"/>
      <c r="DY58" s="36"/>
      <c r="DZ58" s="36"/>
      <c r="EA58" s="36"/>
      <c r="EB58" s="36"/>
      <c r="EC58" s="36"/>
      <c r="ED58" s="36"/>
      <c r="EE58" s="36"/>
      <c r="EF58" s="36"/>
      <c r="EG58" s="36"/>
      <c r="EH58" s="36"/>
      <c r="EI58" s="36"/>
      <c r="EJ58" s="36"/>
      <c r="EK58" s="36"/>
      <c r="EL58" s="36"/>
      <c r="EM58" s="36"/>
      <c r="EN58" s="36"/>
      <c r="EO58" s="36"/>
      <c r="EP58" s="36"/>
      <c r="EQ58" s="36"/>
      <c r="ER58" s="36"/>
      <c r="ES58" s="36"/>
      <c r="ET58" s="36"/>
      <c r="EU58" s="36"/>
      <c r="EV58" s="36"/>
      <c r="EW58" s="36"/>
      <c r="EX58" s="36"/>
      <c r="EY58" s="36"/>
      <c r="EZ58" s="36"/>
      <c r="FA58" s="36"/>
      <c r="FB58" s="36"/>
      <c r="FC58" s="36"/>
      <c r="FD58" s="36"/>
      <c r="FE58" s="36"/>
      <c r="FF58" s="36"/>
      <c r="FG58" s="36"/>
      <c r="FH58" s="36"/>
      <c r="FI58" s="36"/>
      <c r="FK58" s="36"/>
      <c r="FL58" s="36"/>
      <c r="FM58" s="36"/>
      <c r="FN58" s="36"/>
      <c r="FO58" s="36"/>
      <c r="FP58" s="36"/>
      <c r="FQ58" s="36"/>
      <c r="FR58" s="36"/>
      <c r="FS58" s="36"/>
      <c r="FT58" s="36"/>
      <c r="FU58" s="36"/>
      <c r="FV58" s="36"/>
      <c r="FW58" s="36"/>
      <c r="FX58" s="36"/>
      <c r="FY58" s="36"/>
      <c r="FZ58" s="36"/>
      <c r="GA58" s="36"/>
      <c r="GB58" s="36"/>
      <c r="GC58" s="36"/>
      <c r="GD58" s="36"/>
      <c r="GE58" s="36"/>
      <c r="GF58" s="36"/>
      <c r="GG58" s="36"/>
      <c r="GH58" s="36"/>
      <c r="GI58" s="36"/>
      <c r="GJ58" s="36"/>
      <c r="GK58" s="36"/>
      <c r="GL58" s="36"/>
      <c r="GM58" s="36"/>
      <c r="GN58" s="36"/>
      <c r="GO58" s="36"/>
      <c r="GP58" s="36"/>
      <c r="GQ58" s="36" t="s">
        <v>527</v>
      </c>
      <c r="GR58" s="36"/>
      <c r="GS58" s="36"/>
      <c r="GT58" s="36"/>
      <c r="GU58" s="36"/>
      <c r="GV58" s="36"/>
      <c r="GW58" s="36"/>
      <c r="GX58" s="36"/>
      <c r="GY58" s="36"/>
      <c r="GZ58" s="36"/>
      <c r="HA58" s="36"/>
      <c r="HB58" s="36"/>
      <c r="HC58" s="36"/>
      <c r="HD58" s="36"/>
      <c r="HE58" s="36"/>
      <c r="HF58" s="36"/>
      <c r="HG58" s="36"/>
      <c r="HH58" s="36"/>
      <c r="HI58" s="36"/>
      <c r="HJ58" s="36"/>
      <c r="HK58" s="36"/>
      <c r="HL58" s="36"/>
      <c r="HM58" s="36"/>
      <c r="HN58" s="36"/>
      <c r="HO58" s="36"/>
      <c r="HP58" s="36"/>
      <c r="HQ58" s="36"/>
      <c r="HR58" s="36"/>
      <c r="HS58" s="36"/>
      <c r="HT58" s="36"/>
      <c r="HU58" s="36"/>
      <c r="HV58" s="36"/>
      <c r="HW58" s="36"/>
      <c r="HX58" s="36"/>
      <c r="HY58" s="36"/>
      <c r="HZ58" s="36"/>
      <c r="IA58" s="36"/>
      <c r="IB58" s="36"/>
      <c r="IC58" s="36"/>
      <c r="ID58" s="36"/>
      <c r="IE58" s="36"/>
      <c r="IF58" s="36"/>
      <c r="IG58" s="36"/>
      <c r="IH58" s="36"/>
      <c r="II58" s="36"/>
      <c r="IJ58" s="36"/>
      <c r="IK58" s="36"/>
      <c r="IL58" s="36"/>
      <c r="IM58" s="36"/>
      <c r="IN58" s="36"/>
      <c r="IO58" s="36"/>
      <c r="IP58" s="36"/>
      <c r="IQ58" s="36"/>
      <c r="IR58" s="36"/>
      <c r="IS58" s="36"/>
      <c r="IT58" s="36"/>
      <c r="IU58" s="36"/>
      <c r="IV58" s="36"/>
      <c r="IW58" s="36"/>
      <c r="IX58" s="36"/>
      <c r="IY58" s="36"/>
      <c r="IZ58" s="36"/>
      <c r="JA58" s="36"/>
      <c r="JB58" s="36"/>
      <c r="JC58" s="36"/>
      <c r="JD58" s="36"/>
      <c r="JE58" s="36"/>
      <c r="JF58" s="36"/>
      <c r="JG58" s="36"/>
      <c r="JH58" s="36"/>
      <c r="JI58" s="36"/>
      <c r="JJ58" s="36"/>
      <c r="JK58" s="36"/>
      <c r="JL58" s="36"/>
      <c r="JM58" s="36"/>
      <c r="JN58" s="36"/>
      <c r="JO58" s="36"/>
      <c r="JP58" s="36"/>
      <c r="JQ58" s="36"/>
      <c r="JR58" s="36"/>
      <c r="JS58" s="36"/>
      <c r="JT58" s="36"/>
      <c r="JU58" s="36"/>
      <c r="JV58" s="36"/>
      <c r="JW58" s="36"/>
      <c r="JX58" s="36"/>
      <c r="JY58" s="36"/>
      <c r="JZ58" s="36"/>
      <c r="KA58" s="36"/>
      <c r="KD58" s="15"/>
      <c r="KE58" s="51"/>
      <c r="KH58" s="15"/>
      <c r="KI58" s="15"/>
      <c r="KM58" s="56"/>
      <c r="KN58" s="56"/>
      <c r="KO58" s="56"/>
      <c r="KP58" s="56"/>
      <c r="KQ58" s="56"/>
      <c r="KR58" s="56"/>
      <c r="KS58" s="56"/>
      <c r="KT58" s="56"/>
      <c r="KU58" s="56"/>
      <c r="KV58" s="56"/>
      <c r="KW58" s="56"/>
    </row>
    <row r="59" spans="2:309">
      <c r="B59" s="49" t="s">
        <v>430</v>
      </c>
      <c r="C59" s="36" t="s">
        <v>427</v>
      </c>
      <c r="D59" s="36" t="s">
        <v>560</v>
      </c>
      <c r="E59" s="36"/>
      <c r="F59" s="51">
        <v>41715</v>
      </c>
      <c r="G59" s="51">
        <v>41715</v>
      </c>
      <c r="H59" s="50" t="s">
        <v>561</v>
      </c>
      <c r="I59" s="38">
        <v>1005</v>
      </c>
      <c r="J59" s="38">
        <v>1033</v>
      </c>
      <c r="K59" s="38"/>
      <c r="L59" s="36"/>
      <c r="M59" s="36"/>
      <c r="N59" s="38"/>
      <c r="O59" s="38">
        <v>1005</v>
      </c>
      <c r="P59" s="38">
        <v>1033</v>
      </c>
      <c r="Q59" s="38"/>
      <c r="R59" s="38"/>
      <c r="S59" s="38"/>
      <c r="T59" s="38"/>
      <c r="U59" s="38"/>
      <c r="V59" s="38"/>
      <c r="W59" s="38"/>
      <c r="X59" s="38"/>
      <c r="Y59" s="38"/>
      <c r="Z59" s="38"/>
      <c r="AA59" s="36" t="s">
        <v>92</v>
      </c>
      <c r="AB59" s="66" t="s">
        <v>562</v>
      </c>
      <c r="AC59" s="36" t="s">
        <v>94</v>
      </c>
      <c r="AD59" s="36" t="s">
        <v>95</v>
      </c>
      <c r="AE59" s="51">
        <v>41715</v>
      </c>
      <c r="AF59" s="39">
        <v>1</v>
      </c>
      <c r="AG59" s="39">
        <v>-10</v>
      </c>
      <c r="AH59" s="39">
        <v>-1</v>
      </c>
      <c r="AI59" s="39"/>
      <c r="AJ59" s="39">
        <v>10</v>
      </c>
      <c r="AK59" s="39"/>
      <c r="AL59" s="36" t="s">
        <v>426</v>
      </c>
      <c r="AM59" s="50" t="s">
        <v>561</v>
      </c>
      <c r="AN59" s="36" t="s">
        <v>503</v>
      </c>
      <c r="AO59" s="36">
        <v>3</v>
      </c>
      <c r="AP59" s="36">
        <v>4</v>
      </c>
      <c r="AQ59" s="36">
        <v>5</v>
      </c>
      <c r="AR59" s="36">
        <v>6</v>
      </c>
      <c r="AS59" s="36">
        <v>7</v>
      </c>
      <c r="AT59" s="36">
        <v>8</v>
      </c>
      <c r="AU59" s="36">
        <v>9</v>
      </c>
      <c r="AV59" s="36">
        <v>10</v>
      </c>
      <c r="AW59" s="36">
        <v>11</v>
      </c>
      <c r="AX59" s="36">
        <v>12</v>
      </c>
      <c r="AY59" s="36">
        <v>13</v>
      </c>
      <c r="AZ59" s="36">
        <v>14</v>
      </c>
      <c r="BA59" s="36">
        <v>15</v>
      </c>
      <c r="BB59" s="36"/>
      <c r="BC59" s="36" t="s">
        <v>97</v>
      </c>
      <c r="BD59" s="63"/>
      <c r="BE59" s="39"/>
      <c r="BF59" s="36"/>
      <c r="BG59" s="62"/>
      <c r="BH59" s="62"/>
      <c r="BI59" s="64"/>
      <c r="BJ59" s="64" t="s">
        <v>98</v>
      </c>
      <c r="BK59" s="64"/>
      <c r="BL59" s="64"/>
      <c r="BM59" s="64"/>
      <c r="BN59" s="34"/>
      <c r="BO59" s="62"/>
      <c r="BP59" s="62"/>
      <c r="BQ59" s="36"/>
      <c r="BR59" s="34"/>
      <c r="BS59" s="36"/>
      <c r="BT59" s="36"/>
      <c r="BU59" s="36"/>
      <c r="BV59" s="36"/>
      <c r="BW59" s="36"/>
      <c r="BX59" s="39"/>
      <c r="BY59" s="36"/>
      <c r="BZ59" s="36"/>
      <c r="CA59" s="36"/>
      <c r="CB59" s="36"/>
      <c r="CC59" s="62"/>
      <c r="CD59" s="36"/>
      <c r="CE59" s="36"/>
      <c r="CF59" s="36"/>
      <c r="CG59" s="36"/>
      <c r="CH59" s="36"/>
      <c r="CI59" s="39"/>
      <c r="CJ59" s="36"/>
      <c r="CK59" s="36"/>
      <c r="CL59" s="36"/>
      <c r="CM59" s="36"/>
      <c r="CN59" s="36"/>
      <c r="CO59" s="36"/>
      <c r="CP59" s="34"/>
      <c r="CQ59" s="36"/>
      <c r="CR59" s="36"/>
      <c r="CS59" s="36"/>
      <c r="CT59" s="50" t="s">
        <v>563</v>
      </c>
      <c r="CU59" s="36" t="s">
        <v>564</v>
      </c>
      <c r="CV59" s="36" t="s">
        <v>565</v>
      </c>
      <c r="CW59" s="36"/>
      <c r="CX59" s="36"/>
      <c r="CY59" s="36"/>
      <c r="CZ59" s="34"/>
      <c r="DA59" s="36"/>
      <c r="DB59" s="36"/>
      <c r="DC59" s="62"/>
      <c r="DD59" s="36"/>
      <c r="DE59" s="36"/>
      <c r="DF59" s="34"/>
      <c r="DG59" s="36"/>
      <c r="DH59" s="36"/>
      <c r="DI59" s="36"/>
      <c r="DJ59" s="36"/>
      <c r="DK59" s="36"/>
      <c r="DL59" s="36"/>
      <c r="DM59" s="34"/>
      <c r="DN59" s="34"/>
      <c r="DO59" s="36"/>
      <c r="DP59" s="36"/>
      <c r="DQ59" s="36"/>
      <c r="DR59" s="36"/>
      <c r="DS59" s="36"/>
      <c r="DT59" s="36"/>
      <c r="DU59" s="36"/>
      <c r="DV59" s="36"/>
      <c r="DW59" s="36"/>
      <c r="DX59" s="36"/>
      <c r="DY59" s="36"/>
      <c r="DZ59" s="36"/>
      <c r="EA59" s="36" t="s">
        <v>426</v>
      </c>
      <c r="EB59" s="50" t="s">
        <v>512</v>
      </c>
      <c r="EC59" s="36" t="s">
        <v>503</v>
      </c>
      <c r="ED59" s="36">
        <v>3</v>
      </c>
      <c r="EE59" s="36">
        <v>4</v>
      </c>
      <c r="EF59" s="36">
        <v>5</v>
      </c>
      <c r="EG59" s="36">
        <v>6</v>
      </c>
      <c r="EH59" s="36">
        <v>7</v>
      </c>
      <c r="EI59" s="36">
        <v>8</v>
      </c>
      <c r="EJ59" s="36">
        <v>9</v>
      </c>
      <c r="EK59" s="36">
        <v>10</v>
      </c>
      <c r="EL59" s="36">
        <v>11</v>
      </c>
      <c r="EM59" s="36">
        <v>12</v>
      </c>
      <c r="EN59" s="36">
        <v>13</v>
      </c>
      <c r="EO59" s="36">
        <v>14</v>
      </c>
      <c r="EP59" s="36">
        <v>15</v>
      </c>
      <c r="EQ59" s="36"/>
      <c r="ER59" s="36"/>
      <c r="ES59" s="36"/>
      <c r="ET59" s="36"/>
      <c r="EU59" s="36"/>
      <c r="EV59" s="36"/>
      <c r="EW59" s="36"/>
      <c r="EX59" s="36"/>
      <c r="EY59" s="36"/>
      <c r="EZ59" s="36"/>
      <c r="FA59" s="36"/>
      <c r="FB59" s="36"/>
      <c r="FC59" s="36"/>
      <c r="FD59" s="36"/>
      <c r="FE59" s="36"/>
      <c r="FF59" s="36"/>
      <c r="FG59" s="36"/>
      <c r="FH59" s="36"/>
      <c r="FI59" s="36"/>
      <c r="FJ59" s="36"/>
      <c r="FK59" s="36"/>
      <c r="FL59" s="36"/>
      <c r="FM59" s="36"/>
      <c r="FN59" s="36"/>
      <c r="FO59" s="36"/>
      <c r="FP59" s="36"/>
      <c r="FQ59" s="36"/>
      <c r="FR59" s="36"/>
      <c r="FS59" s="36"/>
      <c r="FT59" s="36"/>
      <c r="FU59" s="36"/>
      <c r="FV59" s="36"/>
      <c r="FW59" s="36"/>
      <c r="FX59" s="36"/>
      <c r="FY59" s="36"/>
      <c r="FZ59" s="36"/>
      <c r="GA59" s="36"/>
      <c r="GB59" s="36"/>
      <c r="GC59" s="36"/>
      <c r="GD59" s="36"/>
      <c r="GE59" s="36"/>
      <c r="GF59" s="36"/>
      <c r="GG59" s="36"/>
      <c r="GH59" s="36"/>
      <c r="GI59" s="36"/>
      <c r="GJ59" s="36"/>
      <c r="GK59" s="36"/>
      <c r="GL59" s="39"/>
      <c r="GM59" s="34"/>
      <c r="GN59" s="62"/>
      <c r="GO59" s="36"/>
      <c r="GP59" s="36"/>
      <c r="GQ59" s="36" t="s">
        <v>527</v>
      </c>
      <c r="GR59" s="36"/>
      <c r="GS59" s="36"/>
      <c r="GT59" s="62"/>
      <c r="GU59" s="36"/>
      <c r="GV59" s="36"/>
      <c r="GW59" s="36"/>
      <c r="GX59" s="36"/>
      <c r="GY59" s="36"/>
      <c r="GZ59" s="36"/>
      <c r="HA59" s="36"/>
      <c r="HB59" s="36"/>
      <c r="HC59" s="36"/>
      <c r="HD59" s="36"/>
      <c r="HE59" s="36"/>
      <c r="HF59" s="36"/>
      <c r="HG59" s="36"/>
      <c r="HH59" s="36"/>
      <c r="HI59" s="36"/>
      <c r="HJ59" s="36"/>
      <c r="HK59" s="36"/>
      <c r="HL59" s="36"/>
      <c r="HM59" s="36"/>
      <c r="HN59" s="36"/>
      <c r="HO59" s="36"/>
      <c r="HP59" s="36"/>
      <c r="HQ59" s="36"/>
      <c r="HR59" s="36"/>
      <c r="HS59" s="36"/>
      <c r="HT59" s="36"/>
      <c r="HU59" s="36"/>
      <c r="HV59" s="36"/>
      <c r="HW59" s="36"/>
      <c r="HX59" s="36"/>
      <c r="HY59" s="36"/>
      <c r="HZ59" s="36"/>
      <c r="IA59" s="36"/>
      <c r="IB59" s="36"/>
      <c r="IC59" s="36"/>
      <c r="ID59" s="36"/>
      <c r="IE59" s="36"/>
      <c r="IF59" s="36"/>
      <c r="IG59" s="36"/>
      <c r="IH59" s="36"/>
      <c r="II59" s="36"/>
      <c r="IJ59" s="36"/>
      <c r="IK59" s="36"/>
      <c r="IL59" s="36"/>
      <c r="IM59" s="36"/>
      <c r="IN59" s="36"/>
      <c r="IO59" s="36"/>
      <c r="IP59" s="36"/>
      <c r="IQ59" s="36"/>
      <c r="IR59" s="36"/>
      <c r="IS59" s="36"/>
      <c r="IT59" s="36"/>
      <c r="IU59" s="36"/>
      <c r="IV59" s="36"/>
      <c r="IW59" s="36"/>
      <c r="IX59" s="36"/>
      <c r="IY59" s="36"/>
      <c r="IZ59" s="36"/>
      <c r="JA59" s="36"/>
      <c r="JB59" s="36"/>
      <c r="JC59" s="36"/>
      <c r="JD59" s="36"/>
      <c r="JE59" s="36"/>
      <c r="JF59" s="36"/>
      <c r="JG59" s="36"/>
      <c r="JH59" s="36"/>
      <c r="JI59" s="36"/>
      <c r="JJ59" s="36"/>
      <c r="JK59" s="36"/>
      <c r="JL59" s="36"/>
      <c r="JM59" s="36"/>
      <c r="JN59" s="36"/>
      <c r="JO59" s="36"/>
      <c r="JP59" s="36"/>
      <c r="JQ59" s="36"/>
      <c r="JR59" s="36"/>
      <c r="JS59" s="36"/>
      <c r="JT59" s="36"/>
      <c r="JU59" s="36"/>
      <c r="JV59" s="36"/>
      <c r="JW59" s="36"/>
      <c r="JX59" s="36"/>
      <c r="JY59" s="36"/>
      <c r="JZ59" s="36"/>
      <c r="KA59" s="36"/>
      <c r="KD59" s="15"/>
      <c r="KE59" s="51"/>
      <c r="KH59" s="15"/>
      <c r="KI59" s="15"/>
      <c r="KM59" s="56"/>
      <c r="KN59" s="56"/>
      <c r="KO59" s="56"/>
      <c r="KP59" s="56"/>
      <c r="KQ59" s="56"/>
      <c r="KR59" s="56"/>
      <c r="KS59" s="56"/>
      <c r="KT59" s="56"/>
      <c r="KU59" s="56"/>
      <c r="KV59" s="56"/>
      <c r="KW59" s="56"/>
    </row>
    <row r="60" spans="2:309">
      <c r="B60" s="49" t="s">
        <v>430</v>
      </c>
      <c r="C60" s="36" t="s">
        <v>427</v>
      </c>
      <c r="D60" s="36" t="s">
        <v>560</v>
      </c>
      <c r="E60" s="36"/>
      <c r="F60" s="51">
        <v>41715</v>
      </c>
      <c r="G60" s="51">
        <v>41715</v>
      </c>
      <c r="H60" s="50" t="s">
        <v>566</v>
      </c>
      <c r="I60" s="38">
        <v>1005</v>
      </c>
      <c r="J60" s="38">
        <v>1033</v>
      </c>
      <c r="K60" s="36"/>
      <c r="L60" s="36"/>
      <c r="M60" s="36"/>
      <c r="N60" s="36"/>
      <c r="O60" s="38">
        <v>1005</v>
      </c>
      <c r="P60" s="38">
        <v>1033</v>
      </c>
      <c r="Q60" s="36"/>
      <c r="R60" s="36"/>
      <c r="S60" s="36"/>
      <c r="T60" s="36"/>
      <c r="U60" s="36"/>
      <c r="V60" s="36"/>
      <c r="W60" s="36"/>
      <c r="X60" s="36"/>
      <c r="Y60" s="36"/>
      <c r="Z60" s="36"/>
      <c r="AA60" s="36" t="s">
        <v>559</v>
      </c>
      <c r="AB60" s="66" t="s">
        <v>562</v>
      </c>
      <c r="AC60" s="36" t="s">
        <v>94</v>
      </c>
      <c r="AD60" s="36" t="s">
        <v>95</v>
      </c>
      <c r="AE60" s="51">
        <v>41715</v>
      </c>
      <c r="AF60" s="39">
        <v>1</v>
      </c>
      <c r="AG60" s="39">
        <v>-100</v>
      </c>
      <c r="AH60" s="39">
        <v>-1</v>
      </c>
      <c r="AI60" s="36"/>
      <c r="AJ60" s="39">
        <v>100</v>
      </c>
      <c r="AK60" s="36"/>
      <c r="AL60" s="36" t="s">
        <v>426</v>
      </c>
      <c r="AM60" s="50" t="s">
        <v>566</v>
      </c>
      <c r="AN60" s="36" t="s">
        <v>567</v>
      </c>
      <c r="AO60" s="36">
        <v>3</v>
      </c>
      <c r="AP60" s="36">
        <v>4</v>
      </c>
      <c r="AQ60" s="36">
        <v>5</v>
      </c>
      <c r="AR60" s="36">
        <v>6</v>
      </c>
      <c r="AS60" s="36">
        <v>7</v>
      </c>
      <c r="AT60" s="36">
        <v>8</v>
      </c>
      <c r="AU60" s="36">
        <v>9</v>
      </c>
      <c r="AV60" s="36">
        <v>10</v>
      </c>
      <c r="AW60" s="36">
        <v>11</v>
      </c>
      <c r="AX60" s="36">
        <v>12</v>
      </c>
      <c r="AY60" s="36">
        <v>13</v>
      </c>
      <c r="AZ60" s="36">
        <v>14</v>
      </c>
      <c r="BA60" s="36">
        <v>15</v>
      </c>
      <c r="BB60" s="36"/>
      <c r="BC60" s="36"/>
      <c r="BD60" s="36"/>
      <c r="BE60" s="36"/>
      <c r="BF60" s="36"/>
      <c r="BG60" s="36"/>
      <c r="BH60" s="36"/>
      <c r="BI60" s="64"/>
      <c r="BJ60" s="64"/>
      <c r="BK60" s="64"/>
      <c r="BL60" s="64"/>
      <c r="BM60" s="64"/>
      <c r="BN60" s="36"/>
      <c r="BO60" s="36"/>
      <c r="BP60" s="36"/>
      <c r="BQ60" s="36"/>
      <c r="BR60" s="36"/>
      <c r="BS60" s="36"/>
      <c r="BT60" s="36"/>
      <c r="BU60" s="36"/>
      <c r="BV60" s="36"/>
      <c r="BW60" s="36"/>
      <c r="BX60" s="36"/>
      <c r="BY60" s="36"/>
      <c r="BZ60" s="36"/>
      <c r="CA60" s="36"/>
      <c r="CB60" s="36"/>
      <c r="CC60" s="36"/>
      <c r="CD60" s="36"/>
      <c r="CE60" s="36"/>
      <c r="CF60" s="36"/>
      <c r="CG60" s="36"/>
      <c r="CH60" s="36"/>
      <c r="CI60" s="36"/>
      <c r="CJ60" s="36"/>
      <c r="CK60" s="36"/>
      <c r="CL60" s="36"/>
      <c r="CM60" s="36"/>
      <c r="CN60" s="36"/>
      <c r="CO60" s="36"/>
      <c r="CP60" s="36"/>
      <c r="CQ60" s="36"/>
      <c r="CR60" s="36"/>
      <c r="CS60" s="36"/>
      <c r="CT60" s="36"/>
      <c r="CU60" s="36"/>
      <c r="CV60" s="36" t="s">
        <v>565</v>
      </c>
      <c r="CW60" s="36"/>
      <c r="CX60" s="36"/>
      <c r="CY60" s="36"/>
      <c r="CZ60" s="36"/>
      <c r="DA60" s="36"/>
      <c r="DB60" s="36"/>
      <c r="DC60" s="36"/>
      <c r="DD60" s="36"/>
      <c r="DE60" s="36"/>
      <c r="DF60" s="36"/>
      <c r="DG60" s="36"/>
      <c r="DH60" s="36"/>
      <c r="DI60" s="36"/>
      <c r="DJ60" s="36"/>
      <c r="DK60" s="36"/>
      <c r="DM60" s="36"/>
      <c r="DN60" s="36"/>
      <c r="DO60" s="36"/>
      <c r="DP60" s="36"/>
      <c r="DQ60" s="36"/>
      <c r="DR60" s="36"/>
      <c r="DS60" s="36"/>
      <c r="DT60" s="36"/>
      <c r="DU60" s="36"/>
      <c r="DV60" s="36"/>
      <c r="DW60" s="36"/>
      <c r="DX60" s="36"/>
      <c r="DY60" s="36"/>
      <c r="DZ60" s="36"/>
      <c r="EA60" s="36"/>
      <c r="EB60" s="36"/>
      <c r="EC60" s="36"/>
      <c r="ED60" s="36"/>
      <c r="EE60" s="36"/>
      <c r="EF60" s="36"/>
      <c r="EG60" s="36"/>
      <c r="EH60" s="36"/>
      <c r="EI60" s="36"/>
      <c r="EJ60" s="36"/>
      <c r="EK60" s="36"/>
      <c r="EL60" s="36"/>
      <c r="EM60" s="36"/>
      <c r="EN60" s="36"/>
      <c r="EO60" s="36"/>
      <c r="EP60" s="36"/>
      <c r="EQ60" s="36"/>
      <c r="ER60" s="36"/>
      <c r="ES60" s="36"/>
      <c r="ET60" s="36"/>
      <c r="EU60" s="36"/>
      <c r="EV60" s="36"/>
      <c r="EW60" s="36"/>
      <c r="EX60" s="36"/>
      <c r="EY60" s="36"/>
      <c r="EZ60" s="36"/>
      <c r="FA60" s="36"/>
      <c r="FB60" s="36"/>
      <c r="FC60" s="36"/>
      <c r="FD60" s="36"/>
      <c r="FE60" s="36"/>
      <c r="FF60" s="36"/>
      <c r="FG60" s="36"/>
      <c r="FH60" s="36"/>
      <c r="FI60" s="36"/>
      <c r="FJ60" s="36"/>
      <c r="FK60" s="36"/>
      <c r="FL60" s="36"/>
      <c r="FM60" s="36"/>
      <c r="FN60" s="36"/>
      <c r="FO60" s="36"/>
      <c r="FP60" s="36"/>
      <c r="FQ60" s="36"/>
      <c r="FR60" s="36"/>
      <c r="FS60" s="36"/>
      <c r="FT60" s="36"/>
      <c r="FU60" s="36"/>
      <c r="FV60" s="36"/>
      <c r="FW60" s="36"/>
      <c r="FX60" s="36"/>
      <c r="FY60" s="36"/>
      <c r="FZ60" s="36"/>
      <c r="GA60" s="36"/>
      <c r="GB60" s="36"/>
      <c r="GC60" s="36"/>
      <c r="GD60" s="36"/>
      <c r="GE60" s="36"/>
      <c r="GF60" s="36"/>
      <c r="GG60" s="36"/>
      <c r="GH60" s="36"/>
      <c r="GI60" s="36"/>
      <c r="GJ60" s="36"/>
      <c r="GK60" s="36"/>
      <c r="GL60" s="36"/>
      <c r="GM60" s="36"/>
      <c r="GN60" s="36"/>
      <c r="GO60" s="36"/>
      <c r="GP60" s="36"/>
      <c r="GQ60" s="36" t="s">
        <v>527</v>
      </c>
      <c r="GR60" s="36"/>
      <c r="GS60" s="36"/>
      <c r="GT60" s="36"/>
      <c r="GU60" s="36"/>
      <c r="GV60" s="36"/>
      <c r="GW60" s="36"/>
      <c r="GX60" s="36"/>
      <c r="GY60" s="36"/>
      <c r="GZ60" s="36"/>
      <c r="HA60" s="36"/>
      <c r="HB60" s="36"/>
      <c r="HC60" s="36"/>
      <c r="HD60" s="36"/>
      <c r="HE60" s="36"/>
      <c r="HF60" s="36"/>
      <c r="HG60" s="36"/>
      <c r="HH60" s="36"/>
      <c r="HI60" s="36"/>
      <c r="HJ60" s="36"/>
      <c r="HK60" s="36"/>
      <c r="HL60" s="36"/>
      <c r="HM60" s="36"/>
      <c r="HN60" s="36"/>
      <c r="HO60" s="36"/>
      <c r="HP60" s="36"/>
      <c r="HQ60" s="36"/>
      <c r="HR60" s="36"/>
      <c r="HS60" s="36"/>
      <c r="HT60" s="36"/>
      <c r="HU60" s="36"/>
      <c r="HV60" s="36"/>
      <c r="HW60" s="36"/>
      <c r="HX60" s="36"/>
      <c r="HY60" s="36"/>
      <c r="HZ60" s="36"/>
      <c r="IA60" s="36"/>
      <c r="IB60" s="36"/>
      <c r="IC60" s="36"/>
      <c r="ID60" s="36"/>
      <c r="IE60" s="36"/>
      <c r="IF60" s="36"/>
      <c r="IG60" s="36"/>
      <c r="IH60" s="36"/>
      <c r="II60" s="36"/>
      <c r="IJ60" s="36"/>
      <c r="IK60" s="36"/>
      <c r="IL60" s="36"/>
      <c r="IM60" s="36"/>
      <c r="IN60" s="36"/>
      <c r="IO60" s="36"/>
      <c r="IP60" s="36"/>
      <c r="IQ60" s="36"/>
      <c r="IR60" s="36"/>
      <c r="IS60" s="36"/>
      <c r="IT60" s="36"/>
      <c r="IU60" s="36"/>
      <c r="IV60" s="36"/>
      <c r="IW60" s="36"/>
      <c r="IX60" s="36"/>
      <c r="IY60" s="36"/>
      <c r="IZ60" s="36"/>
      <c r="JA60" s="36"/>
      <c r="JB60" s="36"/>
      <c r="JC60" s="36"/>
      <c r="JD60" s="36"/>
      <c r="JE60" s="36"/>
      <c r="JF60" s="36"/>
      <c r="JG60" s="36"/>
      <c r="JH60" s="36"/>
      <c r="JI60" s="36"/>
      <c r="JJ60" s="36"/>
      <c r="JK60" s="36"/>
      <c r="JL60" s="36"/>
      <c r="JM60" s="36"/>
      <c r="JN60" s="36"/>
      <c r="JO60" s="36"/>
      <c r="JP60" s="36"/>
      <c r="JQ60" s="36"/>
      <c r="JR60" s="36"/>
      <c r="JS60" s="36"/>
      <c r="JT60" s="36"/>
      <c r="JU60" s="36"/>
      <c r="JV60" s="36"/>
      <c r="JW60" s="36"/>
      <c r="JX60" s="36"/>
      <c r="JY60" s="36"/>
      <c r="JZ60" s="36"/>
      <c r="KA60" s="36"/>
      <c r="KD60" s="15"/>
      <c r="KE60" s="51"/>
      <c r="KH60" s="15"/>
      <c r="KI60" s="15"/>
      <c r="KM60" s="56"/>
      <c r="KN60" s="56"/>
      <c r="KO60" s="56"/>
      <c r="KP60" s="56"/>
      <c r="KQ60" s="56"/>
      <c r="KR60" s="56"/>
      <c r="KS60" s="56"/>
      <c r="KT60" s="56"/>
      <c r="KU60" s="56"/>
      <c r="KV60" s="56"/>
      <c r="KW60" s="56"/>
    </row>
    <row r="61" spans="2:309">
      <c r="B61" s="49" t="s">
        <v>430</v>
      </c>
      <c r="C61" s="36" t="s">
        <v>427</v>
      </c>
      <c r="D61" s="36" t="s">
        <v>560</v>
      </c>
      <c r="E61" s="36"/>
      <c r="H61" s="50" t="s">
        <v>568</v>
      </c>
      <c r="I61" s="38">
        <v>1005</v>
      </c>
      <c r="J61" s="38">
        <v>1033</v>
      </c>
      <c r="K61" s="36"/>
      <c r="L61" s="36"/>
      <c r="M61" s="36"/>
      <c r="N61" s="36"/>
      <c r="O61" s="38">
        <v>1005</v>
      </c>
      <c r="P61" s="38">
        <v>1033</v>
      </c>
      <c r="Q61" s="36"/>
      <c r="R61" s="36"/>
      <c r="S61" s="36"/>
      <c r="T61" s="36"/>
      <c r="U61" s="36"/>
      <c r="V61" s="36"/>
      <c r="W61" s="36"/>
      <c r="X61" s="36"/>
      <c r="Y61" s="36"/>
      <c r="Z61" s="36"/>
      <c r="AA61" s="36" t="s">
        <v>559</v>
      </c>
      <c r="AB61" s="66" t="s">
        <v>562</v>
      </c>
      <c r="AC61" s="36" t="s">
        <v>94</v>
      </c>
      <c r="AD61" s="36" t="s">
        <v>95</v>
      </c>
      <c r="AE61" s="51">
        <v>41715</v>
      </c>
      <c r="AF61" s="39">
        <v>1</v>
      </c>
      <c r="AG61" s="39">
        <v>-100</v>
      </c>
      <c r="AH61" s="39">
        <v>-1</v>
      </c>
      <c r="AI61" s="36"/>
      <c r="AJ61" s="39">
        <v>100</v>
      </c>
      <c r="AK61" s="36"/>
      <c r="AL61" s="36" t="s">
        <v>426</v>
      </c>
      <c r="AM61" s="50" t="s">
        <v>568</v>
      </c>
      <c r="AN61" s="36" t="s">
        <v>567</v>
      </c>
      <c r="AO61" s="36">
        <v>3</v>
      </c>
      <c r="AP61" s="36">
        <v>4</v>
      </c>
      <c r="AQ61" s="36">
        <v>5</v>
      </c>
      <c r="AR61" s="36">
        <v>6</v>
      </c>
      <c r="AS61" s="36">
        <v>7</v>
      </c>
      <c r="AT61" s="36">
        <v>8</v>
      </c>
      <c r="AU61" s="36">
        <v>9</v>
      </c>
      <c r="AV61" s="36">
        <v>10</v>
      </c>
      <c r="AW61" s="36">
        <v>11</v>
      </c>
      <c r="AX61" s="36">
        <v>12</v>
      </c>
      <c r="AY61" s="36">
        <v>13</v>
      </c>
      <c r="AZ61" s="36">
        <v>14</v>
      </c>
      <c r="BA61" s="36">
        <v>15</v>
      </c>
      <c r="BB61" s="36"/>
      <c r="BC61" s="36"/>
      <c r="BD61" s="36"/>
      <c r="BE61" s="36"/>
      <c r="BF61" s="36"/>
      <c r="BG61" s="36"/>
      <c r="BH61" s="36"/>
      <c r="BI61" s="64"/>
      <c r="BJ61" s="64"/>
      <c r="BK61" s="64"/>
      <c r="BL61" s="64"/>
      <c r="BM61" s="64"/>
      <c r="BN61" s="36"/>
      <c r="BO61" s="36"/>
      <c r="BP61" s="36"/>
      <c r="BQ61" s="36"/>
      <c r="BR61" s="36"/>
      <c r="BS61" s="36"/>
      <c r="BT61" s="36"/>
      <c r="BU61" s="36"/>
      <c r="BV61" s="36"/>
      <c r="BW61" s="36"/>
      <c r="BX61" s="36"/>
      <c r="BY61" s="36"/>
      <c r="BZ61" s="36"/>
      <c r="CA61" s="36"/>
      <c r="CB61" s="36"/>
      <c r="CC61" s="36"/>
      <c r="CD61" s="36"/>
      <c r="CE61" s="36"/>
      <c r="CF61" s="36"/>
      <c r="CG61" s="36"/>
      <c r="CH61" s="36"/>
      <c r="CI61" s="36"/>
      <c r="CJ61" s="36"/>
      <c r="CK61" s="36"/>
      <c r="CL61" s="36"/>
      <c r="CM61" s="36"/>
      <c r="CN61" s="36"/>
      <c r="CO61" s="36"/>
      <c r="CP61" s="36"/>
      <c r="CQ61" s="36"/>
      <c r="CR61" s="36"/>
      <c r="CS61" s="36"/>
      <c r="CT61" s="36"/>
      <c r="CU61" s="36"/>
      <c r="CV61" s="36" t="s">
        <v>565</v>
      </c>
      <c r="CW61" s="36"/>
      <c r="CX61" s="36"/>
      <c r="CY61" s="36"/>
      <c r="CZ61" s="36"/>
      <c r="DA61" s="36"/>
      <c r="DB61" s="36"/>
      <c r="DC61" s="36"/>
      <c r="DD61" s="36"/>
      <c r="DE61" s="36"/>
      <c r="DF61" s="36"/>
      <c r="DG61" s="36"/>
      <c r="DH61" s="36"/>
      <c r="DI61" s="36"/>
      <c r="DJ61" s="36"/>
      <c r="DK61" s="36"/>
      <c r="DM61" s="36"/>
      <c r="DN61" s="36"/>
      <c r="DO61" s="36"/>
      <c r="DP61" s="36"/>
      <c r="DQ61" s="36"/>
      <c r="DR61" s="36"/>
      <c r="DS61" s="36"/>
      <c r="DT61" s="36"/>
      <c r="DU61" s="36"/>
      <c r="DV61" s="36"/>
      <c r="DW61" s="36"/>
      <c r="DX61" s="36"/>
      <c r="DY61" s="36"/>
      <c r="DZ61" s="36"/>
      <c r="EA61" s="36"/>
      <c r="EB61" s="36"/>
      <c r="EC61" s="36"/>
      <c r="ED61" s="36"/>
      <c r="EE61" s="36"/>
      <c r="EF61" s="36"/>
      <c r="EG61" s="36"/>
      <c r="EH61" s="36"/>
      <c r="EI61" s="36"/>
      <c r="EJ61" s="36"/>
      <c r="EK61" s="36"/>
      <c r="EL61" s="36"/>
      <c r="EM61" s="36"/>
      <c r="EN61" s="36"/>
      <c r="EO61" s="36"/>
      <c r="EP61" s="36"/>
      <c r="EQ61" s="36"/>
      <c r="ER61" s="36"/>
      <c r="ES61" s="36"/>
      <c r="ET61" s="36"/>
      <c r="EU61" s="36"/>
      <c r="EV61" s="36"/>
      <c r="EW61" s="36"/>
      <c r="EX61" s="36"/>
      <c r="EY61" s="36"/>
      <c r="EZ61" s="36"/>
      <c r="FA61" s="36"/>
      <c r="FB61" s="36"/>
      <c r="FC61" s="36"/>
      <c r="FD61" s="36"/>
      <c r="FE61" s="36"/>
      <c r="FF61" s="36"/>
      <c r="FG61" s="36"/>
      <c r="FH61" s="36"/>
      <c r="FI61" s="36"/>
      <c r="FK61" s="36"/>
      <c r="FL61" s="36"/>
      <c r="FM61" s="36"/>
      <c r="FN61" s="36"/>
      <c r="FO61" s="36"/>
      <c r="FP61" s="36"/>
      <c r="FQ61" s="36"/>
      <c r="FR61" s="36"/>
      <c r="FS61" s="36"/>
      <c r="FT61" s="36"/>
      <c r="FU61" s="36"/>
      <c r="FV61" s="36"/>
      <c r="FW61" s="36"/>
      <c r="FX61" s="36"/>
      <c r="FY61" s="36"/>
      <c r="FZ61" s="36"/>
      <c r="GA61" s="36"/>
      <c r="GB61" s="36"/>
      <c r="GC61" s="36"/>
      <c r="GD61" s="36"/>
      <c r="GE61" s="36"/>
      <c r="GF61" s="36"/>
      <c r="GG61" s="36"/>
      <c r="GH61" s="36"/>
      <c r="GI61" s="36"/>
      <c r="GJ61" s="36"/>
      <c r="GK61" s="36"/>
      <c r="GL61" s="36"/>
      <c r="GM61" s="36"/>
      <c r="GN61" s="36"/>
      <c r="GO61" s="36"/>
      <c r="GP61" s="36"/>
      <c r="GQ61" s="36" t="s">
        <v>527</v>
      </c>
      <c r="GR61" s="36"/>
      <c r="GS61" s="36"/>
      <c r="GT61" s="36"/>
      <c r="GU61" s="36"/>
      <c r="GV61" s="36"/>
      <c r="GW61" s="36"/>
      <c r="GX61" s="36"/>
      <c r="GY61" s="36"/>
      <c r="GZ61" s="36"/>
      <c r="HA61" s="36"/>
      <c r="HB61" s="36"/>
      <c r="HC61" s="36"/>
      <c r="HD61" s="36"/>
      <c r="HE61" s="36"/>
      <c r="HF61" s="36"/>
      <c r="HG61" s="36"/>
      <c r="HH61" s="36"/>
      <c r="HI61" s="36"/>
      <c r="HJ61" s="36"/>
      <c r="HK61" s="36"/>
      <c r="HL61" s="36"/>
      <c r="HM61" s="36"/>
      <c r="HN61" s="36"/>
      <c r="HO61" s="36"/>
      <c r="HP61" s="36"/>
      <c r="HQ61" s="36"/>
      <c r="HR61" s="36"/>
      <c r="HS61" s="36"/>
      <c r="HT61" s="36"/>
      <c r="HU61" s="36"/>
      <c r="HV61" s="36"/>
      <c r="HW61" s="36"/>
      <c r="HX61" s="36"/>
      <c r="HY61" s="36"/>
      <c r="HZ61" s="36"/>
      <c r="IA61" s="36"/>
      <c r="IB61" s="36"/>
      <c r="IC61" s="36"/>
      <c r="ID61" s="36"/>
      <c r="IE61" s="36"/>
      <c r="IF61" s="36"/>
      <c r="IG61" s="36"/>
      <c r="IH61" s="36"/>
      <c r="II61" s="36"/>
      <c r="IJ61" s="36"/>
      <c r="IK61" s="36"/>
      <c r="IL61" s="36"/>
      <c r="IM61" s="36"/>
      <c r="IN61" s="36"/>
      <c r="IO61" s="36"/>
      <c r="IP61" s="36"/>
      <c r="IQ61" s="36"/>
      <c r="IR61" s="36"/>
      <c r="IS61" s="36"/>
      <c r="IT61" s="36"/>
      <c r="IU61" s="36"/>
      <c r="IV61" s="36"/>
      <c r="IW61" s="36"/>
      <c r="IX61" s="36"/>
      <c r="IY61" s="36"/>
      <c r="IZ61" s="36"/>
      <c r="JA61" s="36"/>
      <c r="JB61" s="36"/>
      <c r="JC61" s="36"/>
      <c r="JD61" s="36"/>
      <c r="JE61" s="36"/>
      <c r="JF61" s="36"/>
      <c r="JG61" s="36"/>
      <c r="JH61" s="36"/>
      <c r="JI61" s="36"/>
      <c r="JJ61" s="36"/>
      <c r="JK61" s="36"/>
      <c r="JL61" s="36"/>
      <c r="JM61" s="36"/>
      <c r="JN61" s="36"/>
      <c r="JO61" s="36"/>
      <c r="JP61" s="36"/>
      <c r="JQ61" s="36"/>
      <c r="JR61" s="36"/>
      <c r="JS61" s="36"/>
      <c r="JT61" s="36"/>
      <c r="JU61" s="36"/>
      <c r="JV61" s="36"/>
      <c r="JW61" s="36"/>
      <c r="JX61" s="36"/>
      <c r="JY61" s="36"/>
      <c r="JZ61" s="36"/>
      <c r="KA61" s="36"/>
      <c r="KD61" s="15"/>
      <c r="KE61" s="51"/>
      <c r="KH61" s="15"/>
      <c r="KI61" s="15"/>
      <c r="KM61" s="56"/>
      <c r="KN61" s="56"/>
      <c r="KO61" s="56"/>
      <c r="KP61" s="56"/>
      <c r="KQ61" s="56"/>
      <c r="KR61" s="56"/>
      <c r="KS61" s="56"/>
      <c r="KT61" s="56"/>
      <c r="KU61" s="56"/>
      <c r="KV61" s="56"/>
      <c r="KW61" s="56"/>
    </row>
    <row r="62" spans="2:309">
      <c r="B62" s="49" t="s">
        <v>430</v>
      </c>
      <c r="C62" s="36" t="s">
        <v>427</v>
      </c>
      <c r="D62" s="36" t="s">
        <v>560</v>
      </c>
      <c r="E62" s="36"/>
      <c r="F62" s="51">
        <v>41715</v>
      </c>
      <c r="G62" s="51">
        <v>41715</v>
      </c>
      <c r="H62" s="50" t="s">
        <v>569</v>
      </c>
      <c r="I62" s="38">
        <v>1005</v>
      </c>
      <c r="J62" s="38">
        <v>1033</v>
      </c>
      <c r="K62" s="38"/>
      <c r="L62" s="36"/>
      <c r="M62" s="36"/>
      <c r="N62" s="38"/>
      <c r="O62" s="38">
        <v>1005</v>
      </c>
      <c r="P62" s="38">
        <v>1033</v>
      </c>
      <c r="Q62" s="38"/>
      <c r="R62" s="38"/>
      <c r="S62" s="38"/>
      <c r="T62" s="38"/>
      <c r="U62" s="38"/>
      <c r="V62" s="38"/>
      <c r="W62" s="38"/>
      <c r="X62" s="38"/>
      <c r="Y62" s="38"/>
      <c r="Z62" s="38"/>
      <c r="AA62" s="36" t="s">
        <v>92</v>
      </c>
      <c r="AB62" s="66" t="s">
        <v>562</v>
      </c>
      <c r="AC62" s="36" t="s">
        <v>94</v>
      </c>
      <c r="AD62" s="36" t="s">
        <v>95</v>
      </c>
      <c r="AE62" s="51">
        <v>41715</v>
      </c>
      <c r="AF62" s="39">
        <v>1</v>
      </c>
      <c r="AG62" s="39">
        <v>-10</v>
      </c>
      <c r="AH62" s="39">
        <v>-1</v>
      </c>
      <c r="AI62" s="39"/>
      <c r="AJ62" s="39">
        <v>10</v>
      </c>
      <c r="AK62" s="39"/>
      <c r="AL62" s="36" t="s">
        <v>426</v>
      </c>
      <c r="AM62" s="50" t="s">
        <v>569</v>
      </c>
      <c r="AN62" s="36" t="s">
        <v>503</v>
      </c>
      <c r="AO62" s="36">
        <v>3</v>
      </c>
      <c r="AP62" s="36">
        <v>4</v>
      </c>
      <c r="AQ62" s="36">
        <v>5</v>
      </c>
      <c r="AR62" s="36">
        <v>6</v>
      </c>
      <c r="AS62" s="36">
        <v>7</v>
      </c>
      <c r="AT62" s="36">
        <v>8</v>
      </c>
      <c r="AU62" s="36">
        <v>9</v>
      </c>
      <c r="AV62" s="36">
        <v>10</v>
      </c>
      <c r="AW62" s="36">
        <v>11</v>
      </c>
      <c r="AX62" s="36">
        <v>12</v>
      </c>
      <c r="AY62" s="36">
        <v>13</v>
      </c>
      <c r="AZ62" s="36">
        <v>14</v>
      </c>
      <c r="BA62" s="36">
        <v>15</v>
      </c>
      <c r="BB62" s="36"/>
      <c r="BC62" s="36" t="s">
        <v>97</v>
      </c>
      <c r="BD62" s="63"/>
      <c r="BE62" s="39"/>
      <c r="BF62" s="36"/>
      <c r="BG62" s="62"/>
      <c r="BH62" s="62"/>
      <c r="BI62" s="64"/>
      <c r="BJ62" s="64" t="s">
        <v>98</v>
      </c>
      <c r="BK62" s="64"/>
      <c r="BL62" s="64"/>
      <c r="BM62" s="64"/>
      <c r="BN62" s="34"/>
      <c r="BO62" s="62"/>
      <c r="BP62" s="62"/>
      <c r="BQ62" s="36"/>
      <c r="BR62" s="34"/>
      <c r="BS62" s="36"/>
      <c r="BT62" s="36"/>
      <c r="BU62" s="36"/>
      <c r="BV62" s="36"/>
      <c r="BW62" s="36"/>
      <c r="BX62" s="39"/>
      <c r="BY62" s="36"/>
      <c r="BZ62" s="36"/>
      <c r="CA62" s="36"/>
      <c r="CB62" s="36"/>
      <c r="CC62" s="62"/>
      <c r="CD62" s="36"/>
      <c r="CE62" s="36"/>
      <c r="CF62" s="36"/>
      <c r="CG62" s="36"/>
      <c r="CH62" s="36"/>
      <c r="CI62" s="39"/>
      <c r="CJ62" s="36"/>
      <c r="CK62" s="36"/>
      <c r="CL62" s="36"/>
      <c r="CM62" s="36"/>
      <c r="CN62" s="36"/>
      <c r="CO62" s="36"/>
      <c r="CP62" s="34"/>
      <c r="CQ62" s="36"/>
      <c r="CR62" s="36"/>
      <c r="CS62" s="36"/>
      <c r="CT62" s="36"/>
      <c r="CU62" s="36" t="s">
        <v>570</v>
      </c>
      <c r="CV62" s="36" t="s">
        <v>565</v>
      </c>
      <c r="CW62" s="36"/>
      <c r="CX62" s="36"/>
      <c r="CY62" s="36"/>
      <c r="CZ62" s="34"/>
      <c r="DA62" s="36"/>
      <c r="DB62" s="36"/>
      <c r="DC62" s="62"/>
      <c r="DD62" s="36"/>
      <c r="DE62" s="36"/>
      <c r="DF62" s="34"/>
      <c r="DG62" s="36"/>
      <c r="DH62" s="36"/>
      <c r="DI62" s="36"/>
      <c r="DJ62" s="36"/>
      <c r="DK62" s="36"/>
      <c r="DL62" s="36"/>
      <c r="DM62" s="34"/>
      <c r="DN62" s="34"/>
      <c r="DO62" s="36"/>
      <c r="DP62" s="36"/>
      <c r="DQ62" s="36"/>
      <c r="DR62" s="36"/>
      <c r="DS62" s="36"/>
      <c r="DT62" s="36"/>
      <c r="DU62" s="36"/>
      <c r="DV62" s="36"/>
      <c r="DW62" s="36"/>
      <c r="DX62" s="36"/>
      <c r="DY62" s="36"/>
      <c r="DZ62" s="36"/>
      <c r="EA62" s="36" t="s">
        <v>426</v>
      </c>
      <c r="EB62" s="50" t="s">
        <v>515</v>
      </c>
      <c r="EC62" s="36" t="s">
        <v>503</v>
      </c>
      <c r="ED62" s="36">
        <v>3</v>
      </c>
      <c r="EE62" s="36">
        <v>4</v>
      </c>
      <c r="EF62" s="36">
        <v>5</v>
      </c>
      <c r="EG62" s="36">
        <v>6</v>
      </c>
      <c r="EH62" s="36">
        <v>7</v>
      </c>
      <c r="EI62" s="36">
        <v>8</v>
      </c>
      <c r="EJ62" s="36">
        <v>9</v>
      </c>
      <c r="EK62" s="36">
        <v>10</v>
      </c>
      <c r="EL62" s="36">
        <v>11</v>
      </c>
      <c r="EM62" s="36">
        <v>12</v>
      </c>
      <c r="EN62" s="36">
        <v>13</v>
      </c>
      <c r="EO62" s="36">
        <v>14</v>
      </c>
      <c r="EP62" s="36">
        <v>15</v>
      </c>
      <c r="EQ62" s="36"/>
      <c r="ER62" s="36"/>
      <c r="ES62" s="36"/>
      <c r="ET62" s="36"/>
      <c r="EU62" s="36"/>
      <c r="EV62" s="36"/>
      <c r="EW62" s="36"/>
      <c r="EX62" s="36"/>
      <c r="EY62" s="36"/>
      <c r="EZ62" s="36"/>
      <c r="FA62" s="36"/>
      <c r="FB62" s="36"/>
      <c r="FC62" s="36"/>
      <c r="FD62" s="36"/>
      <c r="FE62" s="36"/>
      <c r="FF62" s="36"/>
      <c r="FG62" s="36"/>
      <c r="FH62" s="36"/>
      <c r="FI62" s="36"/>
      <c r="FJ62" s="36"/>
      <c r="FK62" s="36"/>
      <c r="FL62" s="36"/>
      <c r="FM62" s="36"/>
      <c r="FN62" s="36"/>
      <c r="FO62" s="36"/>
      <c r="FP62" s="36"/>
      <c r="FQ62" s="36"/>
      <c r="FR62" s="36"/>
      <c r="FS62" s="36"/>
      <c r="FT62" s="36"/>
      <c r="FU62" s="36"/>
      <c r="FV62" s="36"/>
      <c r="FW62" s="36"/>
      <c r="FX62" s="36"/>
      <c r="FY62" s="36"/>
      <c r="FZ62" s="36"/>
      <c r="GA62" s="36"/>
      <c r="GB62" s="36"/>
      <c r="GC62" s="36"/>
      <c r="GD62" s="36"/>
      <c r="GE62" s="36"/>
      <c r="GF62" s="36"/>
      <c r="GG62" s="36"/>
      <c r="GH62" s="36"/>
      <c r="GI62" s="36"/>
      <c r="GJ62" s="36"/>
      <c r="GK62" s="36"/>
      <c r="GL62" s="39"/>
      <c r="GM62" s="34"/>
      <c r="GN62" s="62"/>
      <c r="GO62" s="36"/>
      <c r="GP62" s="36"/>
      <c r="GQ62" s="36" t="s">
        <v>527</v>
      </c>
      <c r="GR62" s="36"/>
      <c r="GS62" s="36"/>
      <c r="GT62" s="62"/>
      <c r="GU62" s="36"/>
      <c r="GV62" s="36"/>
      <c r="GW62" s="36"/>
      <c r="GX62" s="36"/>
      <c r="GY62" s="36"/>
      <c r="GZ62" s="36"/>
      <c r="HA62" s="36"/>
      <c r="HB62" s="36"/>
      <c r="HC62" s="36"/>
      <c r="HD62" s="36"/>
      <c r="HE62" s="36"/>
      <c r="HF62" s="36"/>
      <c r="HG62" s="36"/>
      <c r="HH62" s="36"/>
      <c r="HI62" s="36"/>
      <c r="HJ62" s="36"/>
      <c r="HK62" s="36"/>
      <c r="HL62" s="36"/>
      <c r="HM62" s="36"/>
      <c r="HN62" s="36"/>
      <c r="HO62" s="36"/>
      <c r="HP62" s="36"/>
      <c r="HQ62" s="36"/>
      <c r="HR62" s="36"/>
      <c r="HS62" s="36"/>
      <c r="HT62" s="36"/>
      <c r="HU62" s="36"/>
      <c r="HV62" s="36"/>
      <c r="HW62" s="36"/>
      <c r="HX62" s="36"/>
      <c r="HY62" s="36"/>
      <c r="HZ62" s="36"/>
      <c r="IA62" s="36"/>
      <c r="IB62" s="36"/>
      <c r="IC62" s="36"/>
      <c r="ID62" s="36"/>
      <c r="IE62" s="36"/>
      <c r="IF62" s="36"/>
      <c r="IG62" s="36"/>
      <c r="IH62" s="36"/>
      <c r="II62" s="36"/>
      <c r="IJ62" s="36"/>
      <c r="IK62" s="36"/>
      <c r="IL62" s="36"/>
      <c r="IM62" s="36"/>
      <c r="IN62" s="36"/>
      <c r="IO62" s="36"/>
      <c r="IP62" s="36"/>
      <c r="IQ62" s="36"/>
      <c r="IR62" s="36"/>
      <c r="IS62" s="36"/>
      <c r="IT62" s="36"/>
      <c r="IU62" s="36"/>
      <c r="IV62" s="36"/>
      <c r="IW62" s="36"/>
      <c r="IX62" s="36"/>
      <c r="IY62" s="36"/>
      <c r="IZ62" s="36"/>
      <c r="JA62" s="36"/>
      <c r="JB62" s="36"/>
      <c r="JC62" s="36"/>
      <c r="JD62" s="36"/>
      <c r="JE62" s="36"/>
      <c r="JF62" s="36"/>
      <c r="JG62" s="36"/>
      <c r="JH62" s="36"/>
      <c r="JI62" s="36"/>
      <c r="JJ62" s="36"/>
      <c r="JK62" s="36"/>
      <c r="JL62" s="36"/>
      <c r="JM62" s="36"/>
      <c r="JN62" s="36"/>
      <c r="JO62" s="36"/>
      <c r="JP62" s="36"/>
      <c r="JQ62" s="36"/>
      <c r="JR62" s="36"/>
      <c r="JS62" s="36"/>
      <c r="JT62" s="36"/>
      <c r="JU62" s="36"/>
      <c r="JV62" s="36"/>
      <c r="JW62" s="36"/>
      <c r="JX62" s="36"/>
      <c r="JY62" s="36"/>
      <c r="JZ62" s="36"/>
      <c r="KA62" s="36"/>
      <c r="KD62" s="15"/>
      <c r="KE62" s="51"/>
      <c r="KH62" s="15"/>
      <c r="KI62" s="15"/>
      <c r="KM62" s="56"/>
      <c r="KN62" s="56"/>
      <c r="KO62" s="56"/>
      <c r="KP62" s="56"/>
      <c r="KQ62" s="56"/>
      <c r="KR62" s="56"/>
      <c r="KS62" s="56"/>
      <c r="KT62" s="56"/>
      <c r="KU62" s="56"/>
      <c r="KV62" s="56"/>
      <c r="KW62" s="56"/>
    </row>
    <row r="63" spans="2:309">
      <c r="B63" s="49" t="s">
        <v>430</v>
      </c>
      <c r="C63" s="36" t="s">
        <v>427</v>
      </c>
      <c r="D63" s="36" t="s">
        <v>560</v>
      </c>
      <c r="E63" s="36"/>
      <c r="F63" s="51">
        <v>41715</v>
      </c>
      <c r="G63" s="51">
        <v>41715</v>
      </c>
      <c r="H63" s="50" t="s">
        <v>571</v>
      </c>
      <c r="I63" s="38">
        <v>1005</v>
      </c>
      <c r="J63" s="38">
        <v>1033</v>
      </c>
      <c r="K63" s="38"/>
      <c r="L63" s="36"/>
      <c r="M63" s="36"/>
      <c r="N63" s="38"/>
      <c r="O63" s="38">
        <v>1005</v>
      </c>
      <c r="P63" s="38">
        <v>1033</v>
      </c>
      <c r="Q63" s="38"/>
      <c r="R63" s="38"/>
      <c r="S63" s="38"/>
      <c r="T63" s="38"/>
      <c r="U63" s="38"/>
      <c r="V63" s="38"/>
      <c r="W63" s="38"/>
      <c r="X63" s="38"/>
      <c r="Y63" s="38"/>
      <c r="Z63" s="38"/>
      <c r="AA63" s="36" t="s">
        <v>92</v>
      </c>
      <c r="AB63" s="66" t="s">
        <v>562</v>
      </c>
      <c r="AC63" s="36" t="s">
        <v>94</v>
      </c>
      <c r="AD63" s="36" t="s">
        <v>95</v>
      </c>
      <c r="AE63" s="51">
        <v>41715</v>
      </c>
      <c r="AF63" s="39">
        <v>1</v>
      </c>
      <c r="AG63" s="39">
        <v>-10</v>
      </c>
      <c r="AH63" s="39">
        <v>-1</v>
      </c>
      <c r="AI63" s="39"/>
      <c r="AJ63" s="39">
        <v>10</v>
      </c>
      <c r="AK63" s="39"/>
      <c r="AL63" s="36" t="s">
        <v>426</v>
      </c>
      <c r="AM63" s="50" t="s">
        <v>571</v>
      </c>
      <c r="AN63" s="36" t="s">
        <v>503</v>
      </c>
      <c r="AO63" s="36">
        <v>3</v>
      </c>
      <c r="AP63" s="36">
        <v>4</v>
      </c>
      <c r="AQ63" s="36">
        <v>5</v>
      </c>
      <c r="AR63" s="36">
        <v>6</v>
      </c>
      <c r="AS63" s="36">
        <v>7</v>
      </c>
      <c r="AT63" s="36">
        <v>8</v>
      </c>
      <c r="AU63" s="36">
        <v>9</v>
      </c>
      <c r="AV63" s="36">
        <v>10</v>
      </c>
      <c r="AW63" s="36">
        <v>11</v>
      </c>
      <c r="AX63" s="36">
        <v>12</v>
      </c>
      <c r="AY63" s="36">
        <v>13</v>
      </c>
      <c r="AZ63" s="36">
        <v>14</v>
      </c>
      <c r="BA63" s="36">
        <v>15</v>
      </c>
      <c r="BB63" s="36"/>
      <c r="BC63" s="36" t="s">
        <v>97</v>
      </c>
      <c r="BD63" s="63"/>
      <c r="BE63" s="39"/>
      <c r="BF63" s="36"/>
      <c r="BG63" s="62"/>
      <c r="BH63" s="62"/>
      <c r="BI63" s="64"/>
      <c r="BJ63" s="64" t="s">
        <v>98</v>
      </c>
      <c r="BK63" s="64"/>
      <c r="BL63" s="64"/>
      <c r="BM63" s="64"/>
      <c r="BN63" s="34"/>
      <c r="BO63" s="62"/>
      <c r="BP63" s="62"/>
      <c r="BQ63" s="36"/>
      <c r="BR63" s="34"/>
      <c r="BS63" s="36"/>
      <c r="BT63" s="36"/>
      <c r="BU63" s="36"/>
      <c r="BV63" s="36"/>
      <c r="BW63" s="36"/>
      <c r="BX63" s="39"/>
      <c r="BY63" s="36"/>
      <c r="BZ63" s="36"/>
      <c r="CA63" s="36"/>
      <c r="CB63" s="36"/>
      <c r="CC63" s="62"/>
      <c r="CD63" s="36"/>
      <c r="CE63" s="36"/>
      <c r="CF63" s="36"/>
      <c r="CG63" s="36"/>
      <c r="CH63" s="36"/>
      <c r="CI63" s="39"/>
      <c r="CJ63" s="36"/>
      <c r="CK63" s="36"/>
      <c r="CL63" s="36"/>
      <c r="CM63" s="36"/>
      <c r="CN63" s="36"/>
      <c r="CO63" s="36"/>
      <c r="CP63" s="34"/>
      <c r="CQ63" s="36"/>
      <c r="CR63" s="36"/>
      <c r="CS63" s="36"/>
      <c r="CT63" s="36"/>
      <c r="CU63" s="36"/>
      <c r="CV63" s="36" t="s">
        <v>565</v>
      </c>
      <c r="CW63" s="36"/>
      <c r="CX63" s="36"/>
      <c r="CY63" s="36"/>
      <c r="CZ63" s="34"/>
      <c r="DA63" s="36"/>
      <c r="DB63" s="36"/>
      <c r="DC63" s="62"/>
      <c r="DD63" s="36"/>
      <c r="DE63" s="36"/>
      <c r="DF63" s="34"/>
      <c r="DG63" s="36"/>
      <c r="DH63" s="36"/>
      <c r="DI63" s="36"/>
      <c r="DJ63" s="36"/>
      <c r="DK63" s="36"/>
      <c r="DL63" s="36"/>
      <c r="DM63" s="34"/>
      <c r="DN63" s="34"/>
      <c r="DO63" s="36"/>
      <c r="DP63" s="36"/>
      <c r="DQ63" s="36"/>
      <c r="DR63" s="36"/>
      <c r="DS63" s="36"/>
      <c r="DT63" s="36"/>
      <c r="DU63" s="36"/>
      <c r="DV63" s="36"/>
      <c r="DW63" s="36"/>
      <c r="DX63" s="36"/>
      <c r="DY63" s="36"/>
      <c r="DZ63" s="36"/>
      <c r="EA63" s="36"/>
      <c r="EC63" s="36"/>
      <c r="ED63" s="36"/>
      <c r="EE63" s="36"/>
      <c r="EF63" s="36"/>
      <c r="EG63" s="36"/>
      <c r="EH63" s="36"/>
      <c r="EI63" s="36"/>
      <c r="EJ63" s="36"/>
      <c r="EK63" s="36"/>
      <c r="EL63" s="36"/>
      <c r="EM63" s="36"/>
      <c r="EN63" s="36"/>
      <c r="EO63" s="36"/>
      <c r="EP63" s="36"/>
      <c r="EQ63" s="36"/>
      <c r="ER63" s="36"/>
      <c r="ES63" s="36"/>
      <c r="ET63" s="36"/>
      <c r="EU63" s="36"/>
      <c r="EV63" s="36"/>
      <c r="EW63" s="36"/>
      <c r="EX63" s="36"/>
      <c r="EY63" s="36"/>
      <c r="EZ63" s="36"/>
      <c r="FA63" s="36"/>
      <c r="FB63" s="36"/>
      <c r="FC63" s="36"/>
      <c r="FD63" s="36"/>
      <c r="FE63" s="36"/>
      <c r="FF63" s="36"/>
      <c r="FG63" s="36"/>
      <c r="FH63" s="36"/>
      <c r="FI63" s="36"/>
      <c r="FJ63" s="36"/>
      <c r="FK63" s="36"/>
      <c r="FL63" s="36"/>
      <c r="FM63" s="36"/>
      <c r="FN63" s="36"/>
      <c r="FO63" s="36"/>
      <c r="FP63" s="36"/>
      <c r="FQ63" s="36"/>
      <c r="FR63" s="36"/>
      <c r="FS63" s="36"/>
      <c r="FT63" s="36"/>
      <c r="FU63" s="36"/>
      <c r="FV63" s="36"/>
      <c r="FW63" s="36"/>
      <c r="FX63" s="36"/>
      <c r="FY63" s="36"/>
      <c r="FZ63" s="36"/>
      <c r="GA63" s="36"/>
      <c r="GB63" s="36"/>
      <c r="GC63" s="36"/>
      <c r="GD63" s="36"/>
      <c r="GE63" s="36"/>
      <c r="GF63" s="36"/>
      <c r="GG63" s="36"/>
      <c r="GH63" s="36"/>
      <c r="GI63" s="36"/>
      <c r="GJ63" s="36"/>
      <c r="GK63" s="36"/>
      <c r="GL63" s="39"/>
      <c r="GM63" s="34"/>
      <c r="GN63" s="62"/>
      <c r="GO63" s="36"/>
      <c r="GP63" s="36"/>
      <c r="GQ63" s="36" t="s">
        <v>527</v>
      </c>
      <c r="GR63" s="36"/>
      <c r="GS63" s="36"/>
      <c r="GT63" s="62"/>
      <c r="GU63" s="36"/>
      <c r="GV63" s="36"/>
      <c r="GW63" s="36"/>
      <c r="GX63" s="36"/>
      <c r="GY63" s="36"/>
      <c r="GZ63" s="36"/>
      <c r="HA63" s="36"/>
      <c r="HB63" s="36"/>
      <c r="HC63" s="36"/>
      <c r="HD63" s="36"/>
      <c r="HE63" s="36"/>
      <c r="HF63" s="36"/>
      <c r="HG63" s="36"/>
      <c r="HH63" s="36"/>
      <c r="HI63" s="36"/>
      <c r="HJ63" s="36"/>
      <c r="HK63" s="36"/>
      <c r="HL63" s="36"/>
      <c r="HM63" s="36"/>
      <c r="HN63" s="36"/>
      <c r="HO63" s="36"/>
      <c r="HP63" s="36"/>
      <c r="HQ63" s="36"/>
      <c r="HR63" s="36"/>
      <c r="HS63" s="36"/>
      <c r="HT63" s="36"/>
      <c r="HU63" s="36"/>
      <c r="HV63" s="36"/>
      <c r="HW63" s="36"/>
      <c r="HX63" s="36"/>
      <c r="HY63" s="36"/>
      <c r="HZ63" s="36"/>
      <c r="IA63" s="36"/>
      <c r="IB63" s="36"/>
      <c r="IC63" s="36"/>
      <c r="ID63" s="36"/>
      <c r="IE63" s="36"/>
      <c r="IF63" s="36"/>
      <c r="IG63" s="36"/>
      <c r="IH63" s="36"/>
      <c r="II63" s="36"/>
      <c r="IJ63" s="36"/>
      <c r="IK63" s="36"/>
      <c r="IL63" s="36"/>
      <c r="IM63" s="36"/>
      <c r="IN63" s="36"/>
      <c r="IO63" s="36"/>
      <c r="IP63" s="36"/>
      <c r="IQ63" s="36"/>
      <c r="IR63" s="36"/>
      <c r="IS63" s="36"/>
      <c r="IT63" s="36"/>
      <c r="IU63" s="36"/>
      <c r="IV63" s="36"/>
      <c r="IW63" s="36"/>
      <c r="IX63" s="36"/>
      <c r="IY63" s="36"/>
      <c r="IZ63" s="36"/>
      <c r="JA63" s="36"/>
      <c r="JB63" s="36"/>
      <c r="JC63" s="36"/>
      <c r="JD63" s="36"/>
      <c r="JE63" s="36"/>
      <c r="JF63" s="36"/>
      <c r="JG63" s="36"/>
      <c r="JH63" s="36"/>
      <c r="JI63" s="36"/>
      <c r="JJ63" s="36"/>
      <c r="JK63" s="36"/>
      <c r="JL63" s="36"/>
      <c r="JM63" s="36"/>
      <c r="JN63" s="36"/>
      <c r="JO63" s="36"/>
      <c r="JP63" s="36"/>
      <c r="JQ63" s="36"/>
      <c r="JR63" s="36"/>
      <c r="JS63" s="36"/>
      <c r="JT63" s="36"/>
      <c r="JU63" s="36"/>
      <c r="JV63" s="36"/>
      <c r="JW63" s="36"/>
      <c r="JX63" s="36"/>
      <c r="JY63" s="36"/>
      <c r="JZ63" s="36"/>
      <c r="KA63" s="36"/>
      <c r="KD63" s="15"/>
      <c r="KE63" s="51"/>
      <c r="KH63" s="15"/>
      <c r="KI63" s="15"/>
      <c r="KM63" s="56"/>
      <c r="KN63" s="56"/>
      <c r="KO63" s="56"/>
      <c r="KP63" s="56"/>
      <c r="KQ63" s="56"/>
      <c r="KR63" s="56"/>
      <c r="KS63" s="56"/>
      <c r="KT63" s="56"/>
      <c r="KU63" s="56"/>
      <c r="KV63" s="56"/>
      <c r="KW63" s="56"/>
    </row>
    <row r="64" spans="2:309">
      <c r="B64" s="49" t="s">
        <v>430</v>
      </c>
      <c r="C64" s="36" t="s">
        <v>427</v>
      </c>
      <c r="D64" s="50" t="s">
        <v>560</v>
      </c>
      <c r="H64" s="50" t="s">
        <v>572</v>
      </c>
      <c r="I64" s="56" t="s">
        <v>500</v>
      </c>
      <c r="J64" s="56" t="s">
        <v>501</v>
      </c>
      <c r="K64" s="50"/>
      <c r="L64" s="50"/>
      <c r="M64" s="50"/>
      <c r="N64" s="50"/>
      <c r="O64" s="38">
        <v>1005</v>
      </c>
      <c r="P64" s="38">
        <v>1033</v>
      </c>
      <c r="Q64" s="50"/>
      <c r="R64" s="50"/>
      <c r="S64" s="50"/>
      <c r="T64" s="50"/>
      <c r="U64" s="50"/>
      <c r="V64" s="50"/>
      <c r="W64" s="50"/>
      <c r="X64" s="50"/>
      <c r="Y64" s="50"/>
      <c r="Z64" s="50"/>
      <c r="AA64" s="50" t="s">
        <v>92</v>
      </c>
      <c r="AB64" s="50" t="s">
        <v>562</v>
      </c>
      <c r="AC64" s="50" t="s">
        <v>94</v>
      </c>
      <c r="AD64" s="50" t="s">
        <v>95</v>
      </c>
      <c r="AE64" s="51">
        <v>41716</v>
      </c>
      <c r="AF64" s="53">
        <v>1</v>
      </c>
      <c r="AG64" s="53">
        <v>-100</v>
      </c>
      <c r="AH64" s="53">
        <v>1</v>
      </c>
      <c r="AI64" s="50"/>
      <c r="AJ64" s="53">
        <v>-100</v>
      </c>
      <c r="AK64" s="50"/>
      <c r="AL64" s="50" t="s">
        <v>426</v>
      </c>
      <c r="AM64" s="50" t="s">
        <v>572</v>
      </c>
      <c r="AN64" s="50" t="s">
        <v>503</v>
      </c>
      <c r="AO64" s="50">
        <v>3</v>
      </c>
      <c r="AP64" s="50">
        <v>4</v>
      </c>
      <c r="AQ64" s="49">
        <v>5</v>
      </c>
      <c r="AR64" s="49">
        <v>6</v>
      </c>
      <c r="AS64" s="50">
        <v>7</v>
      </c>
      <c r="AT64" s="50">
        <v>8</v>
      </c>
      <c r="AU64" s="50">
        <v>9</v>
      </c>
      <c r="AV64" s="50">
        <v>10</v>
      </c>
      <c r="AW64" s="50">
        <v>11</v>
      </c>
      <c r="AX64" s="50">
        <v>12</v>
      </c>
      <c r="AY64" s="50">
        <v>13</v>
      </c>
      <c r="AZ64" s="50">
        <v>14</v>
      </c>
      <c r="BA64" s="50">
        <v>15</v>
      </c>
      <c r="BD64" s="49"/>
      <c r="BE64" s="50"/>
      <c r="BG64" s="50"/>
      <c r="BH64" s="50"/>
      <c r="BN64" s="50"/>
      <c r="BO64" s="50"/>
      <c r="BP64" s="50"/>
      <c r="BR64" s="50"/>
      <c r="BX64" s="50"/>
      <c r="CC64" s="50"/>
      <c r="CL64" s="50"/>
      <c r="CS64" s="50"/>
      <c r="CV64" s="50" t="s">
        <v>565</v>
      </c>
      <c r="CW64" s="50"/>
      <c r="DC64" s="50"/>
      <c r="DF64" s="50"/>
      <c r="DI64" s="50"/>
      <c r="DP64" s="50"/>
      <c r="DQ64" s="50"/>
      <c r="GM64" s="50"/>
      <c r="GN64" s="50"/>
      <c r="GO64" s="50"/>
      <c r="GQ64" s="50" t="s">
        <v>527</v>
      </c>
      <c r="GU64" s="50"/>
      <c r="KD64" s="15"/>
      <c r="KE64" s="51"/>
      <c r="KH64" s="15"/>
      <c r="KI64" s="15"/>
      <c r="KM64" s="56"/>
      <c r="KN64" s="56"/>
      <c r="KO64" s="56"/>
      <c r="KP64" s="56"/>
      <c r="KQ64" s="56"/>
      <c r="KR64" s="56"/>
      <c r="KS64" s="56"/>
      <c r="KT64" s="56"/>
      <c r="KU64" s="56"/>
      <c r="KV64" s="56"/>
      <c r="KW64" s="56"/>
    </row>
    <row r="65" spans="2:309">
      <c r="B65" s="49" t="s">
        <v>430</v>
      </c>
      <c r="C65" s="50" t="s">
        <v>427</v>
      </c>
      <c r="D65" s="50" t="s">
        <v>560</v>
      </c>
      <c r="H65" s="50" t="s">
        <v>573</v>
      </c>
      <c r="I65" s="56" t="s">
        <v>500</v>
      </c>
      <c r="J65" s="56" t="s">
        <v>501</v>
      </c>
      <c r="K65" s="56"/>
      <c r="L65" s="56"/>
      <c r="M65" s="56"/>
      <c r="N65" s="56"/>
      <c r="O65" s="56"/>
      <c r="P65" s="56"/>
      <c r="Q65" s="56"/>
      <c r="R65" s="56"/>
      <c r="S65" s="56"/>
      <c r="T65" s="56"/>
      <c r="U65" s="56"/>
      <c r="V65" s="56"/>
      <c r="W65" s="56"/>
      <c r="X65" s="56"/>
      <c r="Y65" s="56"/>
      <c r="Z65" s="56"/>
      <c r="AA65" s="50" t="s">
        <v>92</v>
      </c>
      <c r="AB65" s="50" t="s">
        <v>93</v>
      </c>
      <c r="AC65" s="50" t="s">
        <v>94</v>
      </c>
      <c r="AD65" s="50" t="s">
        <v>95</v>
      </c>
      <c r="AE65" s="51">
        <v>41715</v>
      </c>
      <c r="AF65" s="53">
        <v>1</v>
      </c>
      <c r="AG65" s="53">
        <v>-1000</v>
      </c>
      <c r="AH65" s="53">
        <v>1</v>
      </c>
      <c r="AJ65" s="53">
        <v>-1000</v>
      </c>
      <c r="AL65" s="50" t="s">
        <v>426</v>
      </c>
      <c r="AM65" s="50" t="s">
        <v>573</v>
      </c>
      <c r="AN65" s="50" t="s">
        <v>503</v>
      </c>
      <c r="AO65" s="50">
        <v>3</v>
      </c>
      <c r="AP65" s="50">
        <v>4</v>
      </c>
      <c r="AQ65" s="50">
        <v>5</v>
      </c>
      <c r="AR65" s="50">
        <v>6</v>
      </c>
      <c r="AS65" s="50">
        <v>7</v>
      </c>
      <c r="AT65" s="50">
        <v>8</v>
      </c>
      <c r="AU65" s="50">
        <v>9</v>
      </c>
      <c r="AV65" s="50">
        <v>10</v>
      </c>
      <c r="AW65" s="50">
        <v>11</v>
      </c>
      <c r="AX65" s="50">
        <v>12</v>
      </c>
      <c r="AY65" s="50">
        <v>13</v>
      </c>
      <c r="AZ65" s="50">
        <v>14</v>
      </c>
      <c r="BA65" s="50">
        <v>15</v>
      </c>
      <c r="BN65" s="50"/>
      <c r="CI65" s="53"/>
      <c r="CL65" s="50"/>
      <c r="CP65" s="49"/>
      <c r="CQ65" s="49"/>
      <c r="CR65" s="49"/>
      <c r="CV65" s="50" t="s">
        <v>565</v>
      </c>
      <c r="GL65" s="53"/>
      <c r="GM65" s="49"/>
      <c r="GN65" s="51"/>
      <c r="GO65" s="50"/>
      <c r="GQ65" s="50" t="s">
        <v>527</v>
      </c>
      <c r="KD65" s="15"/>
      <c r="KE65" s="51"/>
      <c r="KH65" s="15"/>
      <c r="KI65" s="15"/>
      <c r="KM65" s="56"/>
      <c r="KN65" s="56"/>
      <c r="KO65" s="56"/>
      <c r="KP65" s="56"/>
      <c r="KQ65" s="56"/>
      <c r="KR65" s="56"/>
      <c r="KS65" s="56"/>
      <c r="KT65" s="56"/>
      <c r="KU65" s="56"/>
      <c r="KV65" s="56"/>
      <c r="KW65" s="56"/>
    </row>
    <row r="66" spans="2:309">
      <c r="B66" s="49" t="s">
        <v>430</v>
      </c>
      <c r="C66" s="50" t="s">
        <v>427</v>
      </c>
      <c r="D66" s="50" t="s">
        <v>560</v>
      </c>
      <c r="H66" s="50" t="s">
        <v>573</v>
      </c>
      <c r="I66" s="56" t="s">
        <v>500</v>
      </c>
      <c r="J66" s="56" t="s">
        <v>501</v>
      </c>
      <c r="K66" s="56"/>
      <c r="L66" s="56"/>
      <c r="M66" s="56"/>
      <c r="N66" s="56"/>
      <c r="O66" s="56"/>
      <c r="P66" s="56"/>
      <c r="Q66" s="56"/>
      <c r="R66" s="56"/>
      <c r="S66" s="56"/>
      <c r="T66" s="56"/>
      <c r="U66" s="56"/>
      <c r="V66" s="56"/>
      <c r="W66" s="56"/>
      <c r="X66" s="56"/>
      <c r="Y66" s="56"/>
      <c r="Z66" s="56"/>
      <c r="AA66" s="50" t="s">
        <v>516</v>
      </c>
      <c r="AB66" s="50" t="s">
        <v>93</v>
      </c>
      <c r="AC66" s="50" t="s">
        <v>94</v>
      </c>
      <c r="AD66" s="50" t="s">
        <v>95</v>
      </c>
      <c r="AE66" s="51">
        <v>41715</v>
      </c>
      <c r="AF66" s="53">
        <v>1</v>
      </c>
      <c r="AG66" s="53">
        <v>-200</v>
      </c>
      <c r="AH66" s="53">
        <v>1</v>
      </c>
      <c r="AJ66" s="53">
        <v>-200</v>
      </c>
      <c r="AL66" s="50" t="s">
        <v>426</v>
      </c>
      <c r="AM66" s="50" t="s">
        <v>573</v>
      </c>
      <c r="AN66" s="50" t="s">
        <v>547</v>
      </c>
      <c r="AO66" s="50">
        <v>3</v>
      </c>
      <c r="AP66" s="50">
        <v>4</v>
      </c>
      <c r="AQ66" s="50">
        <v>5</v>
      </c>
      <c r="AR66" s="50">
        <v>6</v>
      </c>
      <c r="AS66" s="50">
        <v>7</v>
      </c>
      <c r="AT66" s="50">
        <v>8</v>
      </c>
      <c r="AU66" s="50">
        <v>9</v>
      </c>
      <c r="AV66" s="50">
        <v>10</v>
      </c>
      <c r="AW66" s="50">
        <v>11</v>
      </c>
      <c r="AX66" s="50">
        <v>12</v>
      </c>
      <c r="AY66" s="50">
        <v>13</v>
      </c>
      <c r="AZ66" s="50">
        <v>14</v>
      </c>
      <c r="BA66" s="50">
        <v>15</v>
      </c>
      <c r="BN66" s="50"/>
      <c r="CI66" s="53"/>
      <c r="CL66" s="50"/>
      <c r="CP66" s="49"/>
      <c r="CQ66" s="49"/>
      <c r="CR66" s="49"/>
      <c r="CV66" s="50" t="s">
        <v>565</v>
      </c>
      <c r="GL66" s="53"/>
      <c r="GM66" s="49"/>
      <c r="GN66" s="51"/>
      <c r="GO66" s="50"/>
      <c r="GQ66" s="50" t="s">
        <v>527</v>
      </c>
      <c r="KD66" s="15"/>
      <c r="KE66" s="51"/>
      <c r="KH66" s="15"/>
      <c r="KI66" s="15"/>
      <c r="KM66" s="56"/>
      <c r="KN66" s="56"/>
      <c r="KO66" s="56"/>
      <c r="KP66" s="56"/>
      <c r="KQ66" s="56"/>
      <c r="KR66" s="56"/>
      <c r="KS66" s="56"/>
      <c r="KT66" s="56"/>
      <c r="KU66" s="56"/>
      <c r="KV66" s="56"/>
      <c r="KW66" s="56"/>
    </row>
    <row r="67" spans="2:309">
      <c r="C67" s="1"/>
      <c r="AE67" s="51"/>
      <c r="AO67" s="49"/>
      <c r="AQ67" s="36"/>
      <c r="AR67" s="36"/>
      <c r="AS67" s="36"/>
      <c r="AT67" s="36"/>
      <c r="AU67" s="36"/>
      <c r="AV67" s="36"/>
      <c r="AW67" s="36"/>
      <c r="AX67" s="36"/>
      <c r="AY67" s="36"/>
      <c r="AZ67" s="36"/>
      <c r="BA67" s="36"/>
      <c r="GH67" s="55"/>
      <c r="KD67" s="15"/>
      <c r="KE67" s="51"/>
      <c r="KH67" s="15"/>
      <c r="KI67" s="15"/>
    </row>
    <row r="68" spans="2:309">
      <c r="C68" s="1"/>
      <c r="AE68" s="51"/>
      <c r="AO68" s="49"/>
      <c r="AQ68" s="36"/>
      <c r="AR68" s="36"/>
      <c r="AS68" s="36"/>
      <c r="AT68" s="36"/>
      <c r="AU68" s="36"/>
      <c r="AV68" s="36"/>
      <c r="AW68" s="36"/>
      <c r="AX68" s="36"/>
      <c r="AY68" s="36"/>
      <c r="AZ68" s="36"/>
      <c r="BA68" s="36"/>
      <c r="GH68" s="55"/>
      <c r="KD68" s="15"/>
      <c r="KE68" s="51"/>
      <c r="KH68" s="15"/>
      <c r="KI68" s="15"/>
    </row>
    <row r="69" spans="2:309">
      <c r="C69" s="1"/>
      <c r="AE69" s="51"/>
      <c r="AO69" s="49"/>
      <c r="AQ69" s="36"/>
      <c r="AR69" s="36"/>
      <c r="AS69" s="36"/>
      <c r="AT69" s="36"/>
      <c r="AU69" s="36"/>
      <c r="AV69" s="36"/>
      <c r="AW69" s="36"/>
      <c r="AX69" s="36"/>
      <c r="AY69" s="36"/>
      <c r="AZ69" s="36"/>
      <c r="BA69" s="36"/>
      <c r="GH69" s="55"/>
      <c r="KD69" s="15"/>
      <c r="KE69" s="51"/>
      <c r="KH69" s="15"/>
      <c r="KI69" s="15"/>
    </row>
    <row r="70" spans="2:309">
      <c r="C70" s="1"/>
      <c r="AE70" s="51"/>
      <c r="AO70" s="49"/>
      <c r="AQ70" s="36"/>
      <c r="AR70" s="36"/>
      <c r="AS70" s="36"/>
      <c r="AT70" s="36"/>
      <c r="AU70" s="36"/>
      <c r="AV70" s="36"/>
      <c r="AW70" s="36"/>
      <c r="AX70" s="36"/>
      <c r="AY70" s="36"/>
      <c r="AZ70" s="36"/>
      <c r="BA70" s="36"/>
      <c r="GH70" s="55"/>
      <c r="KD70" s="15"/>
      <c r="KE70" s="51"/>
      <c r="KH70" s="15"/>
      <c r="KI70" s="15"/>
    </row>
    <row r="71" spans="2:309">
      <c r="C71" s="1"/>
      <c r="AE71" s="51"/>
      <c r="AO71" s="49"/>
      <c r="AQ71" s="36"/>
      <c r="AR71" s="36"/>
      <c r="AS71" s="36"/>
      <c r="AT71" s="36"/>
      <c r="AU71" s="36"/>
      <c r="AV71" s="36"/>
      <c r="AW71" s="36"/>
      <c r="AX71" s="36"/>
      <c r="AY71" s="36"/>
      <c r="AZ71" s="36"/>
      <c r="BA71" s="36"/>
      <c r="GH71" s="55"/>
      <c r="KD71" s="15"/>
      <c r="KE71" s="51"/>
      <c r="KH71" s="15"/>
      <c r="KI71" s="15"/>
    </row>
    <row r="72" spans="2:309">
      <c r="C72" s="1"/>
      <c r="AE72" s="51"/>
      <c r="AO72" s="49"/>
      <c r="AQ72" s="36"/>
      <c r="AR72" s="36"/>
      <c r="AS72" s="36"/>
      <c r="AT72" s="36"/>
      <c r="AU72" s="36"/>
      <c r="AV72" s="36"/>
      <c r="AW72" s="36"/>
      <c r="AX72" s="36"/>
      <c r="AY72" s="36"/>
      <c r="AZ72" s="36"/>
      <c r="BA72" s="36"/>
      <c r="GH72" s="55"/>
      <c r="KD72" s="15"/>
      <c r="KE72" s="51"/>
      <c r="KH72" s="15"/>
      <c r="KI72" s="15"/>
    </row>
    <row r="73" spans="2:309">
      <c r="C73" s="1"/>
      <c r="AE73" s="51"/>
      <c r="AO73" s="49"/>
      <c r="AQ73" s="36"/>
      <c r="AR73" s="36"/>
      <c r="AS73" s="36"/>
      <c r="AT73" s="36"/>
      <c r="AU73" s="36"/>
      <c r="AV73" s="36"/>
      <c r="AW73" s="36"/>
      <c r="AX73" s="36"/>
      <c r="AY73" s="36"/>
      <c r="AZ73" s="36"/>
      <c r="BA73" s="36"/>
      <c r="GH73" s="55"/>
      <c r="KD73" s="15"/>
      <c r="KE73" s="51"/>
      <c r="KH73" s="15"/>
      <c r="KI73" s="15"/>
    </row>
    <row r="74" spans="2:309">
      <c r="C74" s="1"/>
      <c r="AE74" s="51"/>
      <c r="AO74" s="49"/>
      <c r="AQ74" s="36"/>
      <c r="AR74" s="36"/>
      <c r="AS74" s="36"/>
      <c r="AT74" s="36"/>
      <c r="AU74" s="36"/>
      <c r="AV74" s="36"/>
      <c r="AW74" s="36"/>
      <c r="AX74" s="36"/>
      <c r="AY74" s="36"/>
      <c r="AZ74" s="36"/>
      <c r="BA74" s="36"/>
      <c r="GH74" s="55"/>
      <c r="KD74" s="15"/>
      <c r="KE74" s="51"/>
      <c r="KH74" s="15"/>
      <c r="KI74" s="15"/>
    </row>
    <row r="75" spans="2:309">
      <c r="C75" s="1"/>
      <c r="AE75" s="51"/>
      <c r="AO75" s="49"/>
      <c r="AQ75" s="36"/>
      <c r="AR75" s="36"/>
      <c r="AS75" s="36"/>
      <c r="AT75" s="36"/>
      <c r="AU75" s="36"/>
      <c r="AV75" s="36"/>
      <c r="AW75" s="36"/>
      <c r="AX75" s="36"/>
      <c r="AY75" s="36"/>
      <c r="AZ75" s="36"/>
      <c r="BA75" s="36"/>
      <c r="GH75" s="55"/>
      <c r="KD75" s="15"/>
      <c r="KE75" s="51"/>
      <c r="KH75" s="15"/>
      <c r="KI75" s="15"/>
    </row>
    <row r="76" spans="2:309">
      <c r="C76" s="1"/>
      <c r="AE76" s="51"/>
      <c r="AO76" s="49"/>
      <c r="AQ76" s="36"/>
      <c r="AR76" s="36"/>
      <c r="AS76" s="36"/>
      <c r="AT76" s="36"/>
      <c r="AU76" s="36"/>
      <c r="AV76" s="36"/>
      <c r="AW76" s="36"/>
      <c r="AX76" s="36"/>
      <c r="AY76" s="36"/>
      <c r="AZ76" s="36"/>
      <c r="BA76" s="36"/>
      <c r="GH76" s="55"/>
      <c r="KD76" s="15"/>
      <c r="KE76" s="51"/>
      <c r="KH76" s="15"/>
      <c r="KI76" s="15"/>
    </row>
    <row r="77" spans="2:309">
      <c r="C77" s="1"/>
      <c r="AE77" s="51"/>
      <c r="AO77" s="49"/>
      <c r="AQ77" s="36"/>
      <c r="AR77" s="36"/>
      <c r="AS77" s="36"/>
      <c r="AT77" s="36"/>
      <c r="AU77" s="36"/>
      <c r="AV77" s="36"/>
      <c r="AW77" s="36"/>
      <c r="AX77" s="36"/>
      <c r="AY77" s="36"/>
      <c r="AZ77" s="36"/>
      <c r="BA77" s="36"/>
      <c r="GH77" s="55"/>
      <c r="KD77" s="15"/>
      <c r="KE77" s="51"/>
      <c r="KH77" s="15"/>
      <c r="KI77" s="15"/>
    </row>
    <row r="78" spans="2:309">
      <c r="C78" s="1"/>
      <c r="AE78" s="51"/>
      <c r="AO78" s="49"/>
      <c r="AQ78" s="36"/>
      <c r="AR78" s="36"/>
      <c r="AS78" s="36"/>
      <c r="AT78" s="36"/>
      <c r="AU78" s="36"/>
      <c r="AV78" s="36"/>
      <c r="AW78" s="36"/>
      <c r="AX78" s="36"/>
      <c r="AY78" s="36"/>
      <c r="AZ78" s="36"/>
      <c r="BA78" s="36"/>
      <c r="GH78" s="55"/>
      <c r="KD78" s="15"/>
      <c r="KE78" s="51"/>
      <c r="KH78" s="15"/>
      <c r="KI78" s="15"/>
    </row>
    <row r="79" spans="2:309">
      <c r="C79" s="1"/>
      <c r="AE79" s="51"/>
      <c r="AO79" s="49"/>
      <c r="AQ79" s="36"/>
      <c r="AR79" s="36"/>
      <c r="AS79" s="36"/>
      <c r="AT79" s="36"/>
      <c r="AU79" s="36"/>
      <c r="AV79" s="36"/>
      <c r="AW79" s="36"/>
      <c r="AX79" s="36"/>
      <c r="AY79" s="36"/>
      <c r="AZ79" s="36"/>
      <c r="BA79" s="36"/>
      <c r="GH79" s="55"/>
      <c r="KD79" s="15"/>
      <c r="KE79" s="51"/>
      <c r="KH79" s="15"/>
      <c r="KI79" s="15"/>
    </row>
    <row r="80" spans="2:309">
      <c r="C80" s="1"/>
      <c r="AE80" s="51"/>
      <c r="AO80" s="49"/>
      <c r="AQ80" s="36"/>
      <c r="AR80" s="36"/>
      <c r="AS80" s="36"/>
      <c r="AT80" s="36"/>
      <c r="AU80" s="36"/>
      <c r="AV80" s="36"/>
      <c r="AW80" s="36"/>
      <c r="AX80" s="36"/>
      <c r="AY80" s="36"/>
      <c r="AZ80" s="36"/>
      <c r="BA80" s="36"/>
      <c r="GH80" s="55"/>
      <c r="KD80" s="15"/>
      <c r="KE80" s="51"/>
      <c r="KH80" s="15"/>
      <c r="KI80" s="15"/>
    </row>
    <row r="81" spans="3:295">
      <c r="C81" s="1"/>
      <c r="AE81" s="51"/>
      <c r="AO81" s="49"/>
      <c r="AQ81" s="36"/>
      <c r="AR81" s="36"/>
      <c r="AS81" s="36"/>
      <c r="AT81" s="36"/>
      <c r="AU81" s="36"/>
      <c r="AV81" s="36"/>
      <c r="AW81" s="36"/>
      <c r="AX81" s="36"/>
      <c r="AY81" s="36"/>
      <c r="AZ81" s="36"/>
      <c r="BA81" s="36"/>
      <c r="GH81" s="55"/>
      <c r="KD81" s="15"/>
      <c r="KE81" s="51"/>
      <c r="KH81" s="15"/>
      <c r="KI81" s="15"/>
    </row>
    <row r="82" spans="3:295">
      <c r="C82" s="1"/>
      <c r="AE82" s="51"/>
      <c r="AO82" s="49"/>
      <c r="AQ82" s="36"/>
      <c r="AR82" s="36"/>
      <c r="AS82" s="36"/>
      <c r="AT82" s="36"/>
      <c r="AU82" s="36"/>
      <c r="AV82" s="36"/>
      <c r="AW82" s="36"/>
      <c r="AX82" s="36"/>
      <c r="AY82" s="36"/>
      <c r="AZ82" s="36"/>
      <c r="BA82" s="36"/>
      <c r="GH82" s="55"/>
      <c r="KD82" s="15"/>
      <c r="KE82" s="51"/>
      <c r="KH82" s="15"/>
      <c r="KI82" s="15"/>
    </row>
    <row r="83" spans="3:295">
      <c r="C83" s="1"/>
      <c r="AE83" s="51"/>
      <c r="AO83" s="49"/>
      <c r="AQ83" s="36"/>
      <c r="AR83" s="36"/>
      <c r="AS83" s="36"/>
      <c r="AT83" s="36"/>
      <c r="AU83" s="36"/>
      <c r="AV83" s="36"/>
      <c r="AW83" s="36"/>
      <c r="AX83" s="36"/>
      <c r="AY83" s="36"/>
      <c r="AZ83" s="36"/>
      <c r="BA83" s="36"/>
      <c r="GH83" s="55"/>
      <c r="KD83" s="15"/>
      <c r="KE83" s="51"/>
      <c r="KH83" s="15"/>
      <c r="KI83" s="15"/>
    </row>
    <row r="84" spans="3:295">
      <c r="C84" s="1"/>
      <c r="AE84" s="51"/>
      <c r="AO84" s="49"/>
      <c r="AQ84" s="36"/>
      <c r="AR84" s="36"/>
      <c r="AS84" s="36"/>
      <c r="AT84" s="36"/>
      <c r="AU84" s="36"/>
      <c r="AV84" s="36"/>
      <c r="AW84" s="36"/>
      <c r="AX84" s="36"/>
      <c r="AY84" s="36"/>
      <c r="AZ84" s="36"/>
      <c r="BA84" s="36"/>
      <c r="GH84" s="55"/>
      <c r="KD84" s="15"/>
      <c r="KE84" s="51"/>
      <c r="KH84" s="15"/>
      <c r="KI84" s="15"/>
    </row>
    <row r="85" spans="3:295">
      <c r="C85" s="1"/>
      <c r="AE85" s="51"/>
      <c r="AO85" s="49"/>
      <c r="AQ85" s="36"/>
      <c r="AR85" s="36"/>
      <c r="AS85" s="36"/>
      <c r="AT85" s="36"/>
      <c r="AU85" s="36"/>
      <c r="AV85" s="36"/>
      <c r="AW85" s="36"/>
      <c r="AX85" s="36"/>
      <c r="AY85" s="36"/>
      <c r="AZ85" s="36"/>
      <c r="BA85" s="36"/>
      <c r="GH85" s="55"/>
      <c r="KD85" s="15"/>
      <c r="KE85" s="51"/>
      <c r="KH85" s="15"/>
      <c r="KI85" s="15"/>
    </row>
    <row r="86" spans="3:295">
      <c r="C86" s="1"/>
      <c r="AE86" s="51"/>
      <c r="AO86" s="49"/>
      <c r="AQ86" s="36"/>
      <c r="AR86" s="36"/>
      <c r="AS86" s="36"/>
      <c r="AT86" s="36"/>
      <c r="AU86" s="36"/>
      <c r="AV86" s="36"/>
      <c r="AW86" s="36"/>
      <c r="AX86" s="36"/>
      <c r="AY86" s="36"/>
      <c r="AZ86" s="36"/>
      <c r="BA86" s="36"/>
      <c r="GH86" s="55"/>
      <c r="KD86" s="15"/>
      <c r="KE86" s="51"/>
      <c r="KH86" s="15"/>
      <c r="KI86" s="15"/>
    </row>
    <row r="87" spans="3:295">
      <c r="C87" s="1"/>
      <c r="AE87" s="51"/>
      <c r="AO87" s="49"/>
      <c r="AQ87" s="36"/>
      <c r="AR87" s="36"/>
      <c r="AS87" s="36"/>
      <c r="AT87" s="36"/>
      <c r="AU87" s="36"/>
      <c r="AV87" s="36"/>
      <c r="AW87" s="36"/>
      <c r="AX87" s="36"/>
      <c r="AY87" s="36"/>
      <c r="AZ87" s="36"/>
      <c r="BA87" s="36"/>
      <c r="GH87" s="55"/>
      <c r="KD87" s="15"/>
      <c r="KE87" s="51"/>
      <c r="KH87" s="15"/>
      <c r="KI87" s="15"/>
    </row>
    <row r="88" spans="3:295">
      <c r="C88" s="1"/>
      <c r="AE88" s="51"/>
      <c r="AO88" s="49"/>
      <c r="AQ88" s="36"/>
      <c r="AR88" s="36"/>
      <c r="AS88" s="36"/>
      <c r="AT88" s="36"/>
      <c r="AU88" s="36"/>
      <c r="AV88" s="36"/>
      <c r="AW88" s="36"/>
      <c r="AX88" s="36"/>
      <c r="AY88" s="36"/>
      <c r="AZ88" s="36"/>
      <c r="BA88" s="36"/>
      <c r="GH88" s="55"/>
      <c r="KD88" s="15"/>
      <c r="KE88" s="51"/>
      <c r="KH88" s="15"/>
      <c r="KI88" s="15"/>
    </row>
    <row r="89" spans="3:295">
      <c r="C89" s="1"/>
      <c r="AE89" s="51"/>
      <c r="AO89" s="49"/>
      <c r="AQ89" s="36"/>
      <c r="AR89" s="36"/>
      <c r="AS89" s="36"/>
      <c r="AT89" s="36"/>
      <c r="AU89" s="36"/>
      <c r="AV89" s="36"/>
      <c r="AW89" s="36"/>
      <c r="AX89" s="36"/>
      <c r="AY89" s="36"/>
      <c r="AZ89" s="36"/>
      <c r="BA89" s="36"/>
      <c r="GH89" s="55"/>
      <c r="KD89" s="15"/>
      <c r="KE89" s="51"/>
      <c r="KH89" s="15"/>
      <c r="KI89" s="15"/>
    </row>
    <row r="90" spans="3:295">
      <c r="C90" s="1"/>
      <c r="AE90" s="51"/>
      <c r="AO90" s="49"/>
      <c r="AQ90" s="36"/>
      <c r="AR90" s="36"/>
      <c r="AS90" s="36"/>
      <c r="AT90" s="36"/>
      <c r="AU90" s="36"/>
      <c r="AV90" s="36"/>
      <c r="AW90" s="36"/>
      <c r="AX90" s="36"/>
      <c r="AY90" s="36"/>
      <c r="AZ90" s="36"/>
      <c r="BA90" s="36"/>
      <c r="GH90" s="55"/>
      <c r="KD90" s="15"/>
      <c r="KE90" s="51"/>
      <c r="KH90" s="15"/>
      <c r="KI90" s="15"/>
    </row>
    <row r="91" spans="3:295">
      <c r="C91" s="1"/>
      <c r="AE91" s="51"/>
      <c r="AO91" s="49"/>
      <c r="AQ91" s="36"/>
      <c r="AR91" s="36"/>
      <c r="AS91" s="36"/>
      <c r="AT91" s="36"/>
      <c r="AU91" s="36"/>
      <c r="AV91" s="36"/>
      <c r="AW91" s="36"/>
      <c r="AX91" s="36"/>
      <c r="AY91" s="36"/>
      <c r="AZ91" s="36"/>
      <c r="BA91" s="36"/>
      <c r="GH91" s="55"/>
      <c r="KD91" s="15"/>
      <c r="KE91" s="51"/>
      <c r="KH91" s="15"/>
      <c r="KI91" s="15"/>
    </row>
    <row r="92" spans="3:295">
      <c r="C92" s="1"/>
      <c r="AE92" s="51"/>
      <c r="AO92" s="49"/>
      <c r="AQ92" s="36"/>
      <c r="AR92" s="36"/>
      <c r="AS92" s="36"/>
      <c r="AT92" s="36"/>
      <c r="AU92" s="36"/>
      <c r="AV92" s="36"/>
      <c r="AW92" s="36"/>
      <c r="AX92" s="36"/>
      <c r="AY92" s="36"/>
      <c r="AZ92" s="36"/>
      <c r="BA92" s="36"/>
      <c r="GH92" s="55"/>
      <c r="KD92" s="15"/>
      <c r="KE92" s="51"/>
      <c r="KH92" s="15"/>
      <c r="KI92" s="15"/>
    </row>
    <row r="93" spans="3:295">
      <c r="C93" s="1"/>
      <c r="AE93" s="51"/>
      <c r="AO93" s="49"/>
      <c r="AQ93" s="36"/>
      <c r="AR93" s="36"/>
      <c r="AS93" s="36"/>
      <c r="AT93" s="36"/>
      <c r="AU93" s="36"/>
      <c r="AV93" s="36"/>
      <c r="AW93" s="36"/>
      <c r="AX93" s="36"/>
      <c r="AY93" s="36"/>
      <c r="AZ93" s="36"/>
      <c r="BA93" s="36"/>
      <c r="GH93" s="55"/>
      <c r="KD93" s="15"/>
      <c r="KE93" s="51"/>
      <c r="KH93" s="15"/>
      <c r="KI93" s="15"/>
    </row>
    <row r="94" spans="3:295">
      <c r="C94" s="1"/>
      <c r="AE94" s="51"/>
      <c r="AO94" s="49"/>
      <c r="AQ94" s="36"/>
      <c r="AR94" s="36"/>
      <c r="AS94" s="36"/>
      <c r="AT94" s="36"/>
      <c r="AU94" s="36"/>
      <c r="AV94" s="36"/>
      <c r="AW94" s="36"/>
      <c r="AX94" s="36"/>
      <c r="AY94" s="36"/>
      <c r="AZ94" s="36"/>
      <c r="BA94" s="36"/>
      <c r="GH94" s="55"/>
      <c r="KD94" s="15"/>
      <c r="KE94" s="51"/>
      <c r="KH94" s="15"/>
      <c r="KI94" s="15"/>
    </row>
    <row r="95" spans="3:295">
      <c r="C95" s="1"/>
      <c r="AE95" s="51"/>
      <c r="AO95" s="49"/>
      <c r="AQ95" s="36"/>
      <c r="AR95" s="36"/>
      <c r="AS95" s="36"/>
      <c r="AT95" s="36"/>
      <c r="AU95" s="36"/>
      <c r="AV95" s="36"/>
      <c r="AW95" s="36"/>
      <c r="AX95" s="36"/>
      <c r="AY95" s="36"/>
      <c r="AZ95" s="36"/>
      <c r="BA95" s="36"/>
      <c r="GH95" s="55"/>
      <c r="KD95" s="15"/>
      <c r="KE95" s="51"/>
      <c r="KH95" s="15"/>
      <c r="KI95" s="15"/>
    </row>
    <row r="96" spans="3:295">
      <c r="C96" s="1"/>
      <c r="AE96" s="51"/>
      <c r="AO96" s="49"/>
      <c r="AQ96" s="36"/>
      <c r="AR96" s="36"/>
      <c r="AS96" s="36"/>
      <c r="AT96" s="36"/>
      <c r="AU96" s="36"/>
      <c r="AV96" s="36"/>
      <c r="AW96" s="36"/>
      <c r="AX96" s="36"/>
      <c r="AY96" s="36"/>
      <c r="AZ96" s="36"/>
      <c r="BA96" s="36"/>
      <c r="GH96" s="55"/>
      <c r="KD96" s="15"/>
      <c r="KE96" s="51"/>
      <c r="KH96" s="15"/>
      <c r="KI96" s="15"/>
    </row>
    <row r="97" spans="3:295">
      <c r="C97" s="1"/>
      <c r="AE97" s="51"/>
      <c r="AO97" s="49"/>
      <c r="AQ97" s="36"/>
      <c r="AR97" s="36"/>
      <c r="AS97" s="36"/>
      <c r="AT97" s="36"/>
      <c r="AU97" s="36"/>
      <c r="AV97" s="36"/>
      <c r="AW97" s="36"/>
      <c r="AX97" s="36"/>
      <c r="AY97" s="36"/>
      <c r="AZ97" s="36"/>
      <c r="BA97" s="36"/>
      <c r="GH97" s="55"/>
      <c r="KD97" s="15"/>
      <c r="KE97" s="51"/>
      <c r="KH97" s="15"/>
      <c r="KI97" s="15"/>
    </row>
    <row r="98" spans="3:295">
      <c r="C98" s="1"/>
      <c r="AE98" s="51"/>
      <c r="AO98" s="49"/>
      <c r="AQ98" s="36"/>
      <c r="AR98" s="36"/>
      <c r="AS98" s="36"/>
      <c r="AT98" s="36"/>
      <c r="AU98" s="36"/>
      <c r="AV98" s="36"/>
      <c r="AW98" s="36"/>
      <c r="AX98" s="36"/>
      <c r="AY98" s="36"/>
      <c r="AZ98" s="36"/>
      <c r="BA98" s="36"/>
      <c r="GH98" s="55"/>
      <c r="KD98" s="15"/>
      <c r="KE98" s="51"/>
      <c r="KH98" s="15"/>
      <c r="KI98" s="15"/>
    </row>
    <row r="99" spans="3:295">
      <c r="C99" s="1"/>
      <c r="AE99" s="51"/>
      <c r="AO99" s="49"/>
      <c r="AQ99" s="36"/>
      <c r="AR99" s="36"/>
      <c r="AS99" s="36"/>
      <c r="AT99" s="36"/>
      <c r="AU99" s="36"/>
      <c r="AV99" s="36"/>
      <c r="AW99" s="36"/>
      <c r="AX99" s="36"/>
      <c r="AY99" s="36"/>
      <c r="AZ99" s="36"/>
      <c r="BA99" s="36"/>
      <c r="GH99" s="55"/>
      <c r="KD99" s="15"/>
      <c r="KE99" s="51"/>
      <c r="KH99" s="15"/>
      <c r="KI99" s="15"/>
    </row>
    <row r="100" spans="3:295">
      <c r="C100" s="1"/>
      <c r="AE100" s="51"/>
      <c r="AO100" s="49"/>
      <c r="AQ100" s="36"/>
      <c r="AR100" s="36"/>
      <c r="AS100" s="36"/>
      <c r="AT100" s="36"/>
      <c r="AU100" s="36"/>
      <c r="AV100" s="36"/>
      <c r="AW100" s="36"/>
      <c r="AX100" s="36"/>
      <c r="AY100" s="36"/>
      <c r="AZ100" s="36"/>
      <c r="BA100" s="36"/>
      <c r="GH100" s="55"/>
      <c r="KD100" s="15"/>
      <c r="KE100" s="51"/>
      <c r="KH100" s="15"/>
      <c r="KI100" s="15"/>
    </row>
    <row r="101" spans="3:295">
      <c r="C101" s="1"/>
      <c r="AE101" s="51"/>
      <c r="AO101" s="49"/>
      <c r="AQ101" s="36"/>
      <c r="AR101" s="36"/>
      <c r="AS101" s="36"/>
      <c r="AT101" s="36"/>
      <c r="AU101" s="36"/>
      <c r="AV101" s="36"/>
      <c r="AW101" s="36"/>
      <c r="AX101" s="36"/>
      <c r="AY101" s="36"/>
      <c r="AZ101" s="36"/>
      <c r="BA101" s="36"/>
      <c r="GH101" s="55"/>
      <c r="KD101" s="15"/>
      <c r="KE101" s="51"/>
      <c r="KH101" s="15"/>
      <c r="KI101" s="15"/>
    </row>
    <row r="102" spans="3:295">
      <c r="C102" s="1"/>
      <c r="AE102" s="51"/>
      <c r="AO102" s="49"/>
      <c r="AQ102" s="36"/>
      <c r="AR102" s="36"/>
      <c r="AS102" s="36"/>
      <c r="AT102" s="36"/>
      <c r="AU102" s="36"/>
      <c r="AV102" s="36"/>
      <c r="AW102" s="36"/>
      <c r="AX102" s="36"/>
      <c r="AY102" s="36"/>
      <c r="AZ102" s="36"/>
      <c r="BA102" s="36"/>
      <c r="GH102" s="55"/>
      <c r="KD102" s="15"/>
      <c r="KE102" s="51"/>
      <c r="KH102" s="15"/>
      <c r="KI102" s="15"/>
    </row>
    <row r="103" spans="3:295">
      <c r="C103" s="1"/>
      <c r="AE103" s="51"/>
      <c r="AO103" s="49"/>
      <c r="AQ103" s="36"/>
      <c r="AR103" s="36"/>
      <c r="AS103" s="36"/>
      <c r="AT103" s="36"/>
      <c r="AU103" s="36"/>
      <c r="AV103" s="36"/>
      <c r="AW103" s="36"/>
      <c r="AX103" s="36"/>
      <c r="AY103" s="36"/>
      <c r="AZ103" s="36"/>
      <c r="BA103" s="36"/>
      <c r="GH103" s="55"/>
      <c r="KD103" s="15"/>
      <c r="KE103" s="51"/>
      <c r="KH103" s="15"/>
      <c r="KI103" s="15"/>
    </row>
    <row r="104" spans="3:295">
      <c r="C104" s="1"/>
      <c r="AE104" s="51"/>
      <c r="AO104" s="49"/>
      <c r="AQ104" s="36"/>
      <c r="AR104" s="36"/>
      <c r="AS104" s="36"/>
      <c r="AT104" s="36"/>
      <c r="AU104" s="36"/>
      <c r="AV104" s="36"/>
      <c r="AW104" s="36"/>
      <c r="AX104" s="36"/>
      <c r="AY104" s="36"/>
      <c r="AZ104" s="36"/>
      <c r="BA104" s="36"/>
      <c r="GH104" s="55"/>
      <c r="KD104" s="15"/>
      <c r="KE104" s="51"/>
      <c r="KH104" s="15"/>
      <c r="KI104" s="15"/>
    </row>
    <row r="105" spans="3:295">
      <c r="C105" s="1"/>
      <c r="AE105" s="51"/>
      <c r="AO105" s="49"/>
      <c r="AQ105" s="36"/>
      <c r="AR105" s="36"/>
      <c r="AS105" s="36"/>
      <c r="AT105" s="36"/>
      <c r="AU105" s="36"/>
      <c r="AV105" s="36"/>
      <c r="AW105" s="36"/>
      <c r="AX105" s="36"/>
      <c r="AY105" s="36"/>
      <c r="AZ105" s="36"/>
      <c r="BA105" s="36"/>
      <c r="GH105" s="55"/>
      <c r="KD105" s="15"/>
      <c r="KE105" s="51"/>
      <c r="KH105" s="15"/>
      <c r="KI105" s="15"/>
    </row>
    <row r="106" spans="3:295">
      <c r="C106" s="1"/>
      <c r="AE106" s="51"/>
      <c r="AO106" s="49"/>
      <c r="AQ106" s="36"/>
      <c r="AR106" s="36"/>
      <c r="AS106" s="36"/>
      <c r="AT106" s="36"/>
      <c r="AU106" s="36"/>
      <c r="AV106" s="36"/>
      <c r="AW106" s="36"/>
      <c r="AX106" s="36"/>
      <c r="AY106" s="36"/>
      <c r="AZ106" s="36"/>
      <c r="BA106" s="36"/>
      <c r="GH106" s="55"/>
      <c r="KD106" s="15"/>
      <c r="KE106" s="51"/>
      <c r="KH106" s="15"/>
      <c r="KI106" s="15"/>
    </row>
    <row r="107" spans="3:295">
      <c r="C107" s="1"/>
      <c r="AE107" s="51"/>
      <c r="AO107" s="49"/>
      <c r="AQ107" s="36"/>
      <c r="AR107" s="36"/>
      <c r="AS107" s="36"/>
      <c r="AT107" s="36"/>
      <c r="AU107" s="36"/>
      <c r="AV107" s="36"/>
      <c r="AW107" s="36"/>
      <c r="AX107" s="36"/>
      <c r="AY107" s="36"/>
      <c r="AZ107" s="36"/>
      <c r="BA107" s="36"/>
      <c r="GH107" s="55"/>
      <c r="KD107" s="15"/>
      <c r="KE107" s="51"/>
      <c r="KH107" s="15"/>
      <c r="KI107" s="15"/>
    </row>
    <row r="108" spans="3:295">
      <c r="C108" s="1"/>
      <c r="AE108" s="51"/>
      <c r="AO108" s="49"/>
      <c r="AQ108" s="36"/>
      <c r="AR108" s="36"/>
      <c r="AS108" s="36"/>
      <c r="AT108" s="36"/>
      <c r="AU108" s="36"/>
      <c r="AV108" s="36"/>
      <c r="AW108" s="36"/>
      <c r="AX108" s="36"/>
      <c r="AY108" s="36"/>
      <c r="AZ108" s="36"/>
      <c r="BA108" s="36"/>
      <c r="GH108" s="55"/>
      <c r="KD108" s="15"/>
      <c r="KE108" s="51"/>
      <c r="KH108" s="15"/>
      <c r="KI108" s="15"/>
    </row>
    <row r="109" spans="3:295">
      <c r="C109" s="1"/>
      <c r="AE109" s="51"/>
      <c r="AO109" s="49"/>
      <c r="AQ109" s="36"/>
      <c r="AR109" s="36"/>
      <c r="AS109" s="36"/>
      <c r="AT109" s="36"/>
      <c r="AU109" s="36"/>
      <c r="AV109" s="36"/>
      <c r="AW109" s="36"/>
      <c r="AX109" s="36"/>
      <c r="AY109" s="36"/>
      <c r="AZ109" s="36"/>
      <c r="BA109" s="36"/>
      <c r="GH109" s="55"/>
      <c r="KD109" s="15"/>
      <c r="KE109" s="51"/>
      <c r="KH109" s="15"/>
      <c r="KI109" s="15"/>
    </row>
    <row r="110" spans="3:295">
      <c r="C110" s="1"/>
      <c r="AE110" s="51"/>
      <c r="AO110" s="49"/>
      <c r="AQ110" s="36"/>
      <c r="AR110" s="36"/>
      <c r="AS110" s="36"/>
      <c r="AT110" s="36"/>
      <c r="AU110" s="36"/>
      <c r="AV110" s="36"/>
      <c r="AW110" s="36"/>
      <c r="AX110" s="36"/>
      <c r="AY110" s="36"/>
      <c r="AZ110" s="36"/>
      <c r="BA110" s="36"/>
      <c r="GH110" s="55"/>
      <c r="KD110" s="15"/>
      <c r="KE110" s="51"/>
      <c r="KH110" s="15"/>
      <c r="KI110" s="15"/>
    </row>
    <row r="111" spans="3:295">
      <c r="C111" s="1"/>
      <c r="AE111" s="51"/>
      <c r="AO111" s="49"/>
      <c r="AQ111" s="36"/>
      <c r="AR111" s="36"/>
      <c r="AS111" s="36"/>
      <c r="AT111" s="36"/>
      <c r="AU111" s="36"/>
      <c r="AV111" s="36"/>
      <c r="AW111" s="36"/>
      <c r="AX111" s="36"/>
      <c r="AY111" s="36"/>
      <c r="AZ111" s="36"/>
      <c r="BA111" s="36"/>
      <c r="GH111" s="55"/>
      <c r="KD111" s="15"/>
      <c r="KE111" s="51"/>
      <c r="KH111" s="15"/>
      <c r="KI111" s="15"/>
    </row>
    <row r="112" spans="3:295">
      <c r="C112" s="1"/>
      <c r="AE112" s="51"/>
      <c r="AO112" s="49"/>
      <c r="AQ112" s="36"/>
      <c r="AR112" s="36"/>
      <c r="AS112" s="36"/>
      <c r="AT112" s="36"/>
      <c r="AU112" s="36"/>
      <c r="AV112" s="36"/>
      <c r="AW112" s="36"/>
      <c r="AX112" s="36"/>
      <c r="AY112" s="36"/>
      <c r="AZ112" s="36"/>
      <c r="BA112" s="36"/>
      <c r="GH112" s="55"/>
      <c r="KD112" s="15"/>
      <c r="KE112" s="51"/>
      <c r="KH112" s="15"/>
      <c r="KI112" s="15"/>
    </row>
    <row r="113" spans="3:295">
      <c r="C113" s="1"/>
      <c r="AE113" s="51"/>
      <c r="AO113" s="49"/>
      <c r="AQ113" s="36"/>
      <c r="AR113" s="36"/>
      <c r="AS113" s="36"/>
      <c r="AT113" s="36"/>
      <c r="AU113" s="36"/>
      <c r="AV113" s="36"/>
      <c r="AW113" s="36"/>
      <c r="AX113" s="36"/>
      <c r="AY113" s="36"/>
      <c r="AZ113" s="36"/>
      <c r="BA113" s="36"/>
      <c r="GH113" s="55"/>
      <c r="KD113" s="15"/>
      <c r="KE113" s="51"/>
      <c r="KH113" s="15"/>
      <c r="KI113" s="15"/>
    </row>
    <row r="114" spans="3:295">
      <c r="C114" s="1"/>
      <c r="AE114" s="51"/>
      <c r="AO114" s="49"/>
      <c r="AQ114" s="36"/>
      <c r="AR114" s="36"/>
      <c r="AS114" s="36"/>
      <c r="AT114" s="36"/>
      <c r="AU114" s="36"/>
      <c r="AV114" s="36"/>
      <c r="AW114" s="36"/>
      <c r="AX114" s="36"/>
      <c r="AY114" s="36"/>
      <c r="AZ114" s="36"/>
      <c r="BA114" s="36"/>
      <c r="GH114" s="55"/>
      <c r="KD114" s="15"/>
      <c r="KE114" s="51"/>
      <c r="KH114" s="15"/>
      <c r="KI114" s="15"/>
    </row>
    <row r="115" spans="3:295">
      <c r="C115" s="1"/>
      <c r="AE115" s="51"/>
      <c r="AO115" s="49"/>
      <c r="AQ115" s="36"/>
      <c r="AR115" s="36"/>
      <c r="AS115" s="36"/>
      <c r="AT115" s="36"/>
      <c r="AU115" s="36"/>
      <c r="AV115" s="36"/>
      <c r="AW115" s="36"/>
      <c r="AX115" s="36"/>
      <c r="AY115" s="36"/>
      <c r="AZ115" s="36"/>
      <c r="BA115" s="36"/>
      <c r="GH115" s="55"/>
      <c r="KD115" s="15"/>
      <c r="KE115" s="51"/>
      <c r="KH115" s="15"/>
      <c r="KI115" s="15"/>
    </row>
    <row r="116" spans="3:295">
      <c r="C116" s="1"/>
      <c r="AE116" s="51"/>
      <c r="AO116" s="49"/>
      <c r="AQ116" s="36"/>
      <c r="AR116" s="36"/>
      <c r="AS116" s="36"/>
      <c r="AT116" s="36"/>
      <c r="AU116" s="36"/>
      <c r="AV116" s="36"/>
      <c r="AW116" s="36"/>
      <c r="AX116" s="36"/>
      <c r="AY116" s="36"/>
      <c r="AZ116" s="36"/>
      <c r="BA116" s="36"/>
      <c r="GH116" s="55"/>
      <c r="KD116" s="15"/>
      <c r="KE116" s="51"/>
      <c r="KH116" s="15"/>
      <c r="KI116" s="15"/>
    </row>
    <row r="117" spans="3:295">
      <c r="C117" s="1"/>
      <c r="AE117" s="51"/>
      <c r="AO117" s="49"/>
      <c r="AQ117" s="36"/>
      <c r="AR117" s="36"/>
      <c r="AS117" s="36"/>
      <c r="AT117" s="36"/>
      <c r="AU117" s="36"/>
      <c r="AV117" s="36"/>
      <c r="AW117" s="36"/>
      <c r="AX117" s="36"/>
      <c r="AY117" s="36"/>
      <c r="AZ117" s="36"/>
      <c r="BA117" s="36"/>
      <c r="GH117" s="55"/>
      <c r="KD117" s="15"/>
      <c r="KE117" s="51"/>
      <c r="KH117" s="15"/>
      <c r="KI117" s="15"/>
    </row>
    <row r="118" spans="3:295">
      <c r="C118" s="1"/>
      <c r="AE118" s="51"/>
      <c r="AO118" s="49"/>
      <c r="AQ118" s="36"/>
      <c r="AR118" s="36"/>
      <c r="AS118" s="36"/>
      <c r="AT118" s="36"/>
      <c r="AU118" s="36"/>
      <c r="AV118" s="36"/>
      <c r="AW118" s="36"/>
      <c r="AX118" s="36"/>
      <c r="AY118" s="36"/>
      <c r="AZ118" s="36"/>
      <c r="BA118" s="36"/>
      <c r="GH118" s="55"/>
      <c r="KD118" s="15"/>
      <c r="KE118" s="51"/>
      <c r="KH118" s="15"/>
      <c r="KI118" s="15"/>
    </row>
    <row r="119" spans="3:295">
      <c r="C119" s="1"/>
      <c r="AE119" s="51"/>
      <c r="AO119" s="49"/>
      <c r="AQ119" s="36"/>
      <c r="AR119" s="36"/>
      <c r="AS119" s="36"/>
      <c r="AT119" s="36"/>
      <c r="AU119" s="36"/>
      <c r="AV119" s="36"/>
      <c r="AW119" s="36"/>
      <c r="AX119" s="36"/>
      <c r="AY119" s="36"/>
      <c r="AZ119" s="36"/>
      <c r="BA119" s="36"/>
      <c r="GH119" s="55"/>
      <c r="KD119" s="15"/>
      <c r="KE119" s="51"/>
      <c r="KH119" s="15"/>
      <c r="KI119" s="15"/>
    </row>
    <row r="120" spans="3:295">
      <c r="C120" s="1"/>
      <c r="AE120" s="51"/>
      <c r="AO120" s="49"/>
      <c r="AQ120" s="36"/>
      <c r="AR120" s="36"/>
      <c r="AS120" s="36"/>
      <c r="AT120" s="36"/>
      <c r="AU120" s="36"/>
      <c r="AV120" s="36"/>
      <c r="AW120" s="36"/>
      <c r="AX120" s="36"/>
      <c r="AY120" s="36"/>
      <c r="AZ120" s="36"/>
      <c r="BA120" s="36"/>
      <c r="GH120" s="55"/>
      <c r="KD120" s="15"/>
      <c r="KE120" s="51"/>
      <c r="KH120" s="15"/>
      <c r="KI120" s="15"/>
    </row>
    <row r="121" spans="3:295">
      <c r="C121" s="1"/>
      <c r="AE121" s="51"/>
      <c r="AO121" s="49"/>
      <c r="AQ121" s="36"/>
      <c r="AR121" s="36"/>
      <c r="AS121" s="36"/>
      <c r="AT121" s="36"/>
      <c r="AU121" s="36"/>
      <c r="AV121" s="36"/>
      <c r="AW121" s="36"/>
      <c r="AX121" s="36"/>
      <c r="AY121" s="36"/>
      <c r="AZ121" s="36"/>
      <c r="BA121" s="36"/>
      <c r="GH121" s="55"/>
      <c r="KD121" s="15"/>
      <c r="KE121" s="51"/>
      <c r="KH121" s="15"/>
      <c r="KI121" s="15"/>
    </row>
    <row r="122" spans="3:295">
      <c r="C122" s="1"/>
      <c r="AE122" s="51"/>
      <c r="AO122" s="49"/>
      <c r="AQ122" s="36"/>
      <c r="AR122" s="36"/>
      <c r="AS122" s="36"/>
      <c r="AT122" s="36"/>
      <c r="AU122" s="36"/>
      <c r="AV122" s="36"/>
      <c r="AW122" s="36"/>
      <c r="AX122" s="36"/>
      <c r="AY122" s="36"/>
      <c r="AZ122" s="36"/>
      <c r="BA122" s="36"/>
      <c r="GH122" s="55"/>
      <c r="KD122" s="15"/>
      <c r="KE122" s="51"/>
      <c r="KH122" s="15"/>
      <c r="KI122" s="15"/>
    </row>
    <row r="123" spans="3:295">
      <c r="C123" s="1"/>
      <c r="AE123" s="51"/>
      <c r="AO123" s="49"/>
      <c r="AQ123" s="36"/>
      <c r="AR123" s="36"/>
      <c r="AS123" s="36"/>
      <c r="AT123" s="36"/>
      <c r="AU123" s="36"/>
      <c r="AV123" s="36"/>
      <c r="AW123" s="36"/>
      <c r="AX123" s="36"/>
      <c r="AY123" s="36"/>
      <c r="AZ123" s="36"/>
      <c r="BA123" s="36"/>
      <c r="GH123" s="55"/>
      <c r="KD123" s="15"/>
      <c r="KE123" s="51"/>
      <c r="KH123" s="15"/>
      <c r="KI123" s="15"/>
    </row>
    <row r="124" spans="3:295">
      <c r="C124" s="1"/>
      <c r="AE124" s="51"/>
      <c r="AO124" s="49"/>
      <c r="AQ124" s="36"/>
      <c r="AR124" s="36"/>
      <c r="AS124" s="36"/>
      <c r="AT124" s="36"/>
      <c r="AU124" s="36"/>
      <c r="AV124" s="36"/>
      <c r="AW124" s="36"/>
      <c r="AX124" s="36"/>
      <c r="AY124" s="36"/>
      <c r="AZ124" s="36"/>
      <c r="BA124" s="36"/>
      <c r="GH124" s="55"/>
      <c r="KD124" s="15"/>
      <c r="KE124" s="51"/>
      <c r="KH124" s="15"/>
      <c r="KI124" s="15"/>
    </row>
    <row r="125" spans="3:295">
      <c r="C125" s="1"/>
      <c r="AE125" s="51"/>
      <c r="AO125" s="49"/>
      <c r="AQ125" s="36"/>
      <c r="AR125" s="36"/>
      <c r="AS125" s="36"/>
      <c r="AT125" s="36"/>
      <c r="AU125" s="36"/>
      <c r="AV125" s="36"/>
      <c r="AW125" s="36"/>
      <c r="AX125" s="36"/>
      <c r="AY125" s="36"/>
      <c r="AZ125" s="36"/>
      <c r="BA125" s="36"/>
      <c r="GH125" s="55"/>
      <c r="KD125" s="15"/>
      <c r="KE125" s="51"/>
      <c r="KH125" s="15"/>
      <c r="KI125" s="15"/>
    </row>
    <row r="126" spans="3:295">
      <c r="C126" s="1"/>
      <c r="AE126" s="51"/>
      <c r="AO126" s="49"/>
      <c r="AQ126" s="36"/>
      <c r="AR126" s="36"/>
      <c r="AS126" s="36"/>
      <c r="AT126" s="36"/>
      <c r="AU126" s="36"/>
      <c r="AV126" s="36"/>
      <c r="AW126" s="36"/>
      <c r="AX126" s="36"/>
      <c r="AY126" s="36"/>
      <c r="AZ126" s="36"/>
      <c r="BA126" s="36"/>
      <c r="GH126" s="55"/>
      <c r="KD126" s="15"/>
      <c r="KE126" s="51"/>
      <c r="KH126" s="15"/>
      <c r="KI126" s="15"/>
    </row>
    <row r="127" spans="3:295">
      <c r="C127" s="1"/>
      <c r="AE127" s="51"/>
      <c r="AO127" s="49"/>
      <c r="AQ127" s="36"/>
      <c r="AR127" s="36"/>
      <c r="AS127" s="36"/>
      <c r="AT127" s="36"/>
      <c r="AU127" s="36"/>
      <c r="AV127" s="36"/>
      <c r="AW127" s="36"/>
      <c r="AX127" s="36"/>
      <c r="AY127" s="36"/>
      <c r="AZ127" s="36"/>
      <c r="BA127" s="36"/>
      <c r="GH127" s="55"/>
      <c r="KD127" s="15"/>
      <c r="KE127" s="51"/>
      <c r="KH127" s="15"/>
      <c r="KI127" s="15"/>
    </row>
    <row r="128" spans="3:295">
      <c r="C128" s="1"/>
      <c r="AE128" s="51"/>
      <c r="AO128" s="49"/>
      <c r="AQ128" s="36"/>
      <c r="AR128" s="36"/>
      <c r="AS128" s="36"/>
      <c r="AT128" s="36"/>
      <c r="AU128" s="36"/>
      <c r="AV128" s="36"/>
      <c r="AW128" s="36"/>
      <c r="AX128" s="36"/>
      <c r="AY128" s="36"/>
      <c r="AZ128" s="36"/>
      <c r="BA128" s="36"/>
      <c r="GH128" s="55"/>
      <c r="KD128" s="15"/>
      <c r="KE128" s="51"/>
      <c r="KH128" s="15"/>
      <c r="KI128" s="15"/>
    </row>
    <row r="129" spans="3:295">
      <c r="C129" s="1"/>
      <c r="AE129" s="51"/>
      <c r="AO129" s="49"/>
      <c r="AQ129" s="36"/>
      <c r="AR129" s="36"/>
      <c r="AS129" s="36"/>
      <c r="AT129" s="36"/>
      <c r="AU129" s="36"/>
      <c r="AV129" s="36"/>
      <c r="AW129" s="36"/>
      <c r="AX129" s="36"/>
      <c r="AY129" s="36"/>
      <c r="AZ129" s="36"/>
      <c r="BA129" s="36"/>
      <c r="GH129" s="55"/>
      <c r="KD129" s="15"/>
      <c r="KE129" s="51"/>
      <c r="KH129" s="15"/>
      <c r="KI129" s="15"/>
    </row>
    <row r="130" spans="3:295">
      <c r="C130" s="1"/>
      <c r="AE130" s="51"/>
      <c r="AO130" s="49"/>
      <c r="AQ130" s="36"/>
      <c r="AR130" s="36"/>
      <c r="AS130" s="36"/>
      <c r="AT130" s="36"/>
      <c r="AU130" s="36"/>
      <c r="AV130" s="36"/>
      <c r="AW130" s="36"/>
      <c r="AX130" s="36"/>
      <c r="AY130" s="36"/>
      <c r="AZ130" s="36"/>
      <c r="BA130" s="36"/>
      <c r="GH130" s="55"/>
      <c r="KD130" s="15"/>
      <c r="KE130" s="51"/>
      <c r="KH130" s="15"/>
      <c r="KI130" s="15"/>
    </row>
    <row r="131" spans="3:295">
      <c r="C131" s="1"/>
      <c r="AE131" s="51"/>
      <c r="AO131" s="49"/>
      <c r="AQ131" s="36"/>
      <c r="AR131" s="36"/>
      <c r="AS131" s="36"/>
      <c r="AT131" s="36"/>
      <c r="AU131" s="36"/>
      <c r="AV131" s="36"/>
      <c r="AW131" s="36"/>
      <c r="AX131" s="36"/>
      <c r="AY131" s="36"/>
      <c r="AZ131" s="36"/>
      <c r="BA131" s="36"/>
      <c r="GH131" s="55"/>
      <c r="KD131" s="15"/>
      <c r="KE131" s="51"/>
      <c r="KH131" s="15"/>
      <c r="KI131" s="15"/>
    </row>
    <row r="132" spans="3:295">
      <c r="C132" s="1"/>
      <c r="AE132" s="51"/>
      <c r="AO132" s="49"/>
      <c r="AQ132" s="36"/>
      <c r="AR132" s="36"/>
      <c r="AS132" s="36"/>
      <c r="AT132" s="36"/>
      <c r="AU132" s="36"/>
      <c r="AV132" s="36"/>
      <c r="AW132" s="36"/>
      <c r="AX132" s="36"/>
      <c r="AY132" s="36"/>
      <c r="AZ132" s="36"/>
      <c r="BA132" s="36"/>
      <c r="GH132" s="55"/>
      <c r="KD132" s="15"/>
      <c r="KE132" s="51"/>
      <c r="KH132" s="15"/>
      <c r="KI132" s="15"/>
    </row>
    <row r="133" spans="3:295">
      <c r="C133" s="1"/>
      <c r="AE133" s="51"/>
      <c r="AO133" s="49"/>
      <c r="AQ133" s="36"/>
      <c r="AR133" s="36"/>
      <c r="AS133" s="36"/>
      <c r="AT133" s="36"/>
      <c r="AU133" s="36"/>
      <c r="AV133" s="36"/>
      <c r="AW133" s="36"/>
      <c r="AX133" s="36"/>
      <c r="AY133" s="36"/>
      <c r="AZ133" s="36"/>
      <c r="BA133" s="36"/>
      <c r="GH133" s="55"/>
      <c r="KD133" s="15"/>
      <c r="KE133" s="51"/>
      <c r="KH133" s="15"/>
      <c r="KI133" s="15"/>
    </row>
    <row r="134" spans="3:295">
      <c r="C134" s="1"/>
      <c r="AE134" s="51"/>
      <c r="AO134" s="49"/>
      <c r="AQ134" s="36"/>
      <c r="AR134" s="36"/>
      <c r="AS134" s="36"/>
      <c r="AT134" s="36"/>
      <c r="AU134" s="36"/>
      <c r="AV134" s="36"/>
      <c r="AW134" s="36"/>
      <c r="AX134" s="36"/>
      <c r="AY134" s="36"/>
      <c r="AZ134" s="36"/>
      <c r="BA134" s="36"/>
      <c r="GH134" s="55"/>
      <c r="KD134" s="15"/>
      <c r="KE134" s="51"/>
      <c r="KH134" s="15"/>
      <c r="KI134" s="15"/>
    </row>
    <row r="135" spans="3:295">
      <c r="C135" s="1"/>
      <c r="AE135" s="51"/>
      <c r="AO135" s="49"/>
      <c r="AQ135" s="36"/>
      <c r="AR135" s="36"/>
      <c r="AS135" s="36"/>
      <c r="AT135" s="36"/>
      <c r="AU135" s="36"/>
      <c r="AV135" s="36"/>
      <c r="AW135" s="36"/>
      <c r="AX135" s="36"/>
      <c r="AY135" s="36"/>
      <c r="AZ135" s="36"/>
      <c r="BA135" s="36"/>
      <c r="GH135" s="55"/>
      <c r="KD135" s="15"/>
      <c r="KE135" s="51"/>
      <c r="KH135" s="15"/>
      <c r="KI135" s="15"/>
    </row>
    <row r="136" spans="3:295">
      <c r="C136" s="1"/>
      <c r="AE136" s="51"/>
      <c r="AO136" s="49"/>
      <c r="AQ136" s="36"/>
      <c r="AR136" s="36"/>
      <c r="AS136" s="36"/>
      <c r="AT136" s="36"/>
      <c r="AU136" s="36"/>
      <c r="AV136" s="36"/>
      <c r="AW136" s="36"/>
      <c r="AX136" s="36"/>
      <c r="AY136" s="36"/>
      <c r="AZ136" s="36"/>
      <c r="BA136" s="36"/>
      <c r="GH136" s="55"/>
      <c r="KD136" s="15"/>
      <c r="KE136" s="51"/>
      <c r="KH136" s="15"/>
      <c r="KI136" s="15"/>
    </row>
    <row r="137" spans="3:295">
      <c r="C137" s="1"/>
      <c r="AE137" s="51"/>
      <c r="AO137" s="49"/>
      <c r="AQ137" s="36"/>
      <c r="AR137" s="36"/>
      <c r="AS137" s="36"/>
      <c r="AT137" s="36"/>
      <c r="AU137" s="36"/>
      <c r="AV137" s="36"/>
      <c r="AW137" s="36"/>
      <c r="AX137" s="36"/>
      <c r="AY137" s="36"/>
      <c r="AZ137" s="36"/>
      <c r="BA137" s="36"/>
      <c r="GH137" s="55"/>
      <c r="KD137" s="15"/>
      <c r="KE137" s="51"/>
      <c r="KH137" s="15"/>
      <c r="KI137" s="15"/>
    </row>
    <row r="138" spans="3:295">
      <c r="C138" s="1"/>
      <c r="AE138" s="51"/>
      <c r="AO138" s="49"/>
      <c r="AQ138" s="36"/>
      <c r="AR138" s="36"/>
      <c r="AS138" s="36"/>
      <c r="AT138" s="36"/>
      <c r="AU138" s="36"/>
      <c r="AV138" s="36"/>
      <c r="AW138" s="36"/>
      <c r="AX138" s="36"/>
      <c r="AY138" s="36"/>
      <c r="AZ138" s="36"/>
      <c r="BA138" s="36"/>
      <c r="GH138" s="55"/>
      <c r="KD138" s="15"/>
      <c r="KE138" s="51"/>
      <c r="KH138" s="15"/>
      <c r="KI138" s="15"/>
    </row>
    <row r="139" spans="3:295">
      <c r="C139" s="1"/>
      <c r="AE139" s="51"/>
      <c r="AO139" s="49"/>
      <c r="AQ139" s="36"/>
      <c r="AR139" s="36"/>
      <c r="AS139" s="36"/>
      <c r="AT139" s="36"/>
      <c r="AU139" s="36"/>
      <c r="AV139" s="36"/>
      <c r="AW139" s="36"/>
      <c r="AX139" s="36"/>
      <c r="AY139" s="36"/>
      <c r="AZ139" s="36"/>
      <c r="BA139" s="36"/>
      <c r="GH139" s="55"/>
      <c r="KD139" s="15"/>
      <c r="KE139" s="51"/>
      <c r="KH139" s="15"/>
      <c r="KI139" s="15"/>
    </row>
    <row r="140" spans="3:295">
      <c r="C140" s="1"/>
      <c r="AE140" s="51"/>
      <c r="AO140" s="49"/>
      <c r="AQ140" s="36"/>
      <c r="AR140" s="36"/>
      <c r="AS140" s="36"/>
      <c r="AT140" s="36"/>
      <c r="AU140" s="36"/>
      <c r="AV140" s="36"/>
      <c r="AW140" s="36"/>
      <c r="AX140" s="36"/>
      <c r="AY140" s="36"/>
      <c r="AZ140" s="36"/>
      <c r="BA140" s="36"/>
      <c r="GH140" s="55"/>
      <c r="KD140" s="15"/>
      <c r="KE140" s="51"/>
      <c r="KH140" s="15"/>
      <c r="KI140" s="15"/>
    </row>
    <row r="141" spans="3:295">
      <c r="C141" s="1"/>
      <c r="AE141" s="51"/>
      <c r="AO141" s="49"/>
      <c r="AQ141" s="36"/>
      <c r="AR141" s="36"/>
      <c r="AS141" s="36"/>
      <c r="AT141" s="36"/>
      <c r="AU141" s="36"/>
      <c r="AV141" s="36"/>
      <c r="AW141" s="36"/>
      <c r="AX141" s="36"/>
      <c r="AY141" s="36"/>
      <c r="AZ141" s="36"/>
      <c r="BA141" s="36"/>
      <c r="GH141" s="55"/>
      <c r="KD141" s="15"/>
      <c r="KE141" s="51"/>
      <c r="KH141" s="15"/>
      <c r="KI141" s="15"/>
    </row>
    <row r="142" spans="3:295">
      <c r="C142" s="1"/>
      <c r="AE142" s="51"/>
      <c r="AO142" s="49"/>
      <c r="AQ142" s="36"/>
      <c r="AR142" s="36"/>
      <c r="AS142" s="36"/>
      <c r="AT142" s="36"/>
      <c r="AU142" s="36"/>
      <c r="AV142" s="36"/>
      <c r="AW142" s="36"/>
      <c r="AX142" s="36"/>
      <c r="AY142" s="36"/>
      <c r="AZ142" s="36"/>
      <c r="BA142" s="36"/>
      <c r="GH142" s="55"/>
      <c r="KD142" s="15"/>
      <c r="KE142" s="51"/>
      <c r="KH142" s="15"/>
      <c r="KI142" s="15"/>
    </row>
    <row r="143" spans="3:295">
      <c r="C143" s="1"/>
      <c r="AE143" s="51"/>
      <c r="AO143" s="49"/>
      <c r="AQ143" s="36"/>
      <c r="AR143" s="36"/>
      <c r="AS143" s="36"/>
      <c r="AT143" s="36"/>
      <c r="AU143" s="36"/>
      <c r="AV143" s="36"/>
      <c r="AW143" s="36"/>
      <c r="AX143" s="36"/>
      <c r="AY143" s="36"/>
      <c r="AZ143" s="36"/>
      <c r="BA143" s="36"/>
      <c r="GH143" s="55"/>
      <c r="KD143" s="15"/>
      <c r="KE143" s="51"/>
      <c r="KH143" s="15"/>
      <c r="KI143" s="15"/>
    </row>
    <row r="144" spans="3:295">
      <c r="C144" s="1"/>
      <c r="AE144" s="51"/>
      <c r="AO144" s="49"/>
      <c r="AQ144" s="36"/>
      <c r="AR144" s="36"/>
      <c r="AS144" s="36"/>
      <c r="AT144" s="36"/>
      <c r="AU144" s="36"/>
      <c r="AV144" s="36"/>
      <c r="AW144" s="36"/>
      <c r="AX144" s="36"/>
      <c r="AY144" s="36"/>
      <c r="AZ144" s="36"/>
      <c r="BA144" s="36"/>
      <c r="GH144" s="55"/>
      <c r="KD144" s="15"/>
      <c r="KE144" s="51"/>
      <c r="KH144" s="15"/>
      <c r="KI144" s="15"/>
    </row>
    <row r="145" spans="3:295">
      <c r="C145" s="1"/>
      <c r="AE145" s="51"/>
      <c r="AO145" s="49"/>
      <c r="AQ145" s="36"/>
      <c r="AR145" s="36"/>
      <c r="AS145" s="36"/>
      <c r="AT145" s="36"/>
      <c r="AU145" s="36"/>
      <c r="AV145" s="36"/>
      <c r="AW145" s="36"/>
      <c r="AX145" s="36"/>
      <c r="AY145" s="36"/>
      <c r="AZ145" s="36"/>
      <c r="BA145" s="36"/>
      <c r="GH145" s="55"/>
      <c r="KD145" s="15"/>
      <c r="KE145" s="51"/>
      <c r="KH145" s="15"/>
      <c r="KI145" s="15"/>
    </row>
    <row r="146" spans="3:295">
      <c r="C146" s="1"/>
      <c r="AE146" s="51"/>
      <c r="AO146" s="49"/>
      <c r="AQ146" s="36"/>
      <c r="AR146" s="36"/>
      <c r="AS146" s="36"/>
      <c r="AT146" s="36"/>
      <c r="AU146" s="36"/>
      <c r="AV146" s="36"/>
      <c r="AW146" s="36"/>
      <c r="AX146" s="36"/>
      <c r="AY146" s="36"/>
      <c r="AZ146" s="36"/>
      <c r="BA146" s="36"/>
      <c r="GH146" s="55"/>
      <c r="KD146" s="15"/>
      <c r="KE146" s="51"/>
      <c r="KH146" s="15"/>
      <c r="KI146" s="15"/>
    </row>
    <row r="147" spans="3:295">
      <c r="C147" s="1"/>
      <c r="AE147" s="51"/>
      <c r="AO147" s="49"/>
      <c r="AQ147" s="36"/>
      <c r="AR147" s="36"/>
      <c r="AS147" s="36"/>
      <c r="AT147" s="36"/>
      <c r="AU147" s="36"/>
      <c r="AV147" s="36"/>
      <c r="AW147" s="36"/>
      <c r="AX147" s="36"/>
      <c r="AY147" s="36"/>
      <c r="AZ147" s="36"/>
      <c r="BA147" s="36"/>
      <c r="GH147" s="55"/>
      <c r="KD147" s="15"/>
      <c r="KE147" s="51"/>
      <c r="KH147" s="15"/>
      <c r="KI147" s="15"/>
    </row>
    <row r="148" spans="3:295">
      <c r="C148" s="1"/>
      <c r="AE148" s="51"/>
      <c r="AO148" s="49"/>
      <c r="AQ148" s="36"/>
      <c r="AR148" s="36"/>
      <c r="AS148" s="36"/>
      <c r="AT148" s="36"/>
      <c r="AU148" s="36"/>
      <c r="AV148" s="36"/>
      <c r="AW148" s="36"/>
      <c r="AX148" s="36"/>
      <c r="AY148" s="36"/>
      <c r="AZ148" s="36"/>
      <c r="BA148" s="36"/>
      <c r="GH148" s="55"/>
      <c r="KD148" s="15"/>
      <c r="KE148" s="51"/>
      <c r="KH148" s="15"/>
      <c r="KI148" s="15"/>
    </row>
    <row r="149" spans="3:295">
      <c r="C149" s="1"/>
      <c r="AE149" s="51"/>
      <c r="AO149" s="49"/>
      <c r="AQ149" s="36"/>
      <c r="AR149" s="36"/>
      <c r="AS149" s="36"/>
      <c r="AT149" s="36"/>
      <c r="AU149" s="36"/>
      <c r="AV149" s="36"/>
      <c r="AW149" s="36"/>
      <c r="AX149" s="36"/>
      <c r="AY149" s="36"/>
      <c r="AZ149" s="36"/>
      <c r="BA149" s="36"/>
      <c r="GH149" s="55"/>
      <c r="KD149" s="15"/>
      <c r="KE149" s="51"/>
      <c r="KH149" s="15"/>
      <c r="KI149" s="15"/>
    </row>
    <row r="150" spans="3:295">
      <c r="C150" s="1"/>
      <c r="AE150" s="51"/>
      <c r="AO150" s="49"/>
      <c r="AQ150" s="36"/>
      <c r="AR150" s="36"/>
      <c r="AS150" s="36"/>
      <c r="AT150" s="36"/>
      <c r="AU150" s="36"/>
      <c r="AV150" s="36"/>
      <c r="AW150" s="36"/>
      <c r="AX150" s="36"/>
      <c r="AY150" s="36"/>
      <c r="AZ150" s="36"/>
      <c r="BA150" s="36"/>
      <c r="GH150" s="55"/>
      <c r="KD150" s="15"/>
      <c r="KE150" s="51"/>
      <c r="KH150" s="15"/>
      <c r="KI150" s="15"/>
    </row>
    <row r="151" spans="3:295">
      <c r="C151" s="1"/>
      <c r="AE151" s="51"/>
      <c r="AO151" s="49"/>
      <c r="AQ151" s="36"/>
      <c r="AR151" s="36"/>
      <c r="AS151" s="36"/>
      <c r="AT151" s="36"/>
      <c r="AU151" s="36"/>
      <c r="AV151" s="36"/>
      <c r="AW151" s="36"/>
      <c r="AX151" s="36"/>
      <c r="AY151" s="36"/>
      <c r="AZ151" s="36"/>
      <c r="BA151" s="36"/>
      <c r="GH151" s="55"/>
      <c r="KD151" s="15"/>
      <c r="KE151" s="51"/>
      <c r="KH151" s="15"/>
      <c r="KI151" s="15"/>
    </row>
    <row r="152" spans="3:295">
      <c r="C152" s="1"/>
      <c r="AE152" s="51"/>
      <c r="AO152" s="49"/>
      <c r="AQ152" s="36"/>
      <c r="AR152" s="36"/>
      <c r="AS152" s="36"/>
      <c r="AT152" s="36"/>
      <c r="AU152" s="36"/>
      <c r="AV152" s="36"/>
      <c r="AW152" s="36"/>
      <c r="AX152" s="36"/>
      <c r="AY152" s="36"/>
      <c r="AZ152" s="36"/>
      <c r="BA152" s="36"/>
      <c r="GH152" s="55"/>
      <c r="KD152" s="15"/>
      <c r="KE152" s="51"/>
      <c r="KH152" s="15"/>
      <c r="KI152" s="15"/>
    </row>
    <row r="153" spans="3:295">
      <c r="C153" s="1"/>
      <c r="AE153" s="51"/>
      <c r="AO153" s="49"/>
      <c r="AQ153" s="36"/>
      <c r="AR153" s="36"/>
      <c r="AS153" s="36"/>
      <c r="AT153" s="36"/>
      <c r="AU153" s="36"/>
      <c r="AV153" s="36"/>
      <c r="AW153" s="36"/>
      <c r="AX153" s="36"/>
      <c r="AY153" s="36"/>
      <c r="AZ153" s="36"/>
      <c r="BA153" s="36"/>
      <c r="GH153" s="55"/>
      <c r="KD153" s="15"/>
      <c r="KE153" s="51"/>
      <c r="KH153" s="15"/>
      <c r="KI153" s="15"/>
    </row>
    <row r="154" spans="3:295">
      <c r="C154" s="1"/>
      <c r="AE154" s="51"/>
      <c r="AO154" s="49"/>
      <c r="AQ154" s="36"/>
      <c r="AR154" s="36"/>
      <c r="AS154" s="36"/>
      <c r="AT154" s="36"/>
      <c r="AU154" s="36"/>
      <c r="AV154" s="36"/>
      <c r="AW154" s="36"/>
      <c r="AX154" s="36"/>
      <c r="AY154" s="36"/>
      <c r="AZ154" s="36"/>
      <c r="BA154" s="36"/>
      <c r="GH154" s="55"/>
      <c r="KD154" s="15"/>
      <c r="KE154" s="51"/>
      <c r="KH154" s="15"/>
      <c r="KI154" s="15"/>
    </row>
    <row r="155" spans="3:295">
      <c r="C155" s="1"/>
      <c r="AE155" s="51"/>
      <c r="AO155" s="49"/>
      <c r="AQ155" s="36"/>
      <c r="AR155" s="36"/>
      <c r="AS155" s="36"/>
      <c r="AT155" s="36"/>
      <c r="AU155" s="36"/>
      <c r="AV155" s="36"/>
      <c r="AW155" s="36"/>
      <c r="AX155" s="36"/>
      <c r="AY155" s="36"/>
      <c r="AZ155" s="36"/>
      <c r="BA155" s="36"/>
      <c r="GH155" s="55"/>
      <c r="KD155" s="15"/>
      <c r="KE155" s="51"/>
      <c r="KH155" s="15"/>
      <c r="KI155" s="15"/>
    </row>
    <row r="156" spans="3:295">
      <c r="C156" s="1"/>
      <c r="AE156" s="51"/>
      <c r="AO156" s="49"/>
      <c r="AQ156" s="36"/>
      <c r="AR156" s="36"/>
      <c r="AS156" s="36"/>
      <c r="AT156" s="36"/>
      <c r="AU156" s="36"/>
      <c r="AV156" s="36"/>
      <c r="AW156" s="36"/>
      <c r="AX156" s="36"/>
      <c r="AY156" s="36"/>
      <c r="AZ156" s="36"/>
      <c r="BA156" s="36"/>
      <c r="GH156" s="55"/>
      <c r="KD156" s="15"/>
      <c r="KE156" s="51"/>
      <c r="KH156" s="15"/>
      <c r="KI156" s="15"/>
    </row>
    <row r="157" spans="3:295">
      <c r="C157" s="1"/>
      <c r="AE157" s="51"/>
      <c r="AO157" s="49"/>
      <c r="AQ157" s="36"/>
      <c r="AR157" s="36"/>
      <c r="AS157" s="36"/>
      <c r="AT157" s="36"/>
      <c r="AU157" s="36"/>
      <c r="AV157" s="36"/>
      <c r="AW157" s="36"/>
      <c r="AX157" s="36"/>
      <c r="AY157" s="36"/>
      <c r="AZ157" s="36"/>
      <c r="BA157" s="36"/>
      <c r="GH157" s="55"/>
      <c r="KD157" s="15"/>
      <c r="KE157" s="51"/>
      <c r="KH157" s="15"/>
      <c r="KI157" s="15"/>
    </row>
    <row r="158" spans="3:295">
      <c r="C158" s="1"/>
      <c r="AE158" s="51"/>
      <c r="AO158" s="49"/>
      <c r="AQ158" s="36"/>
      <c r="AR158" s="36"/>
      <c r="AS158" s="36"/>
      <c r="AT158" s="36"/>
      <c r="AU158" s="36"/>
      <c r="AV158" s="36"/>
      <c r="AW158" s="36"/>
      <c r="AX158" s="36"/>
      <c r="AY158" s="36"/>
      <c r="AZ158" s="36"/>
      <c r="BA158" s="36"/>
      <c r="GH158" s="55"/>
      <c r="KD158" s="15"/>
      <c r="KE158" s="51"/>
      <c r="KH158" s="15"/>
      <c r="KI158" s="15"/>
    </row>
    <row r="159" spans="3:295">
      <c r="C159" s="1"/>
      <c r="AE159" s="51"/>
      <c r="AO159" s="49"/>
      <c r="AQ159" s="36"/>
      <c r="AR159" s="36"/>
      <c r="AS159" s="36"/>
      <c r="AT159" s="36"/>
      <c r="AU159" s="36"/>
      <c r="AV159" s="36"/>
      <c r="AW159" s="36"/>
      <c r="AX159" s="36"/>
      <c r="AY159" s="36"/>
      <c r="AZ159" s="36"/>
      <c r="BA159" s="36"/>
      <c r="GH159" s="55"/>
      <c r="KD159" s="15"/>
      <c r="KE159" s="51"/>
      <c r="KH159" s="15"/>
      <c r="KI159" s="15"/>
    </row>
    <row r="160" spans="3:295">
      <c r="C160" s="1"/>
      <c r="AE160" s="51"/>
      <c r="AO160" s="49"/>
      <c r="AQ160" s="36"/>
      <c r="AR160" s="36"/>
      <c r="AS160" s="36"/>
      <c r="AT160" s="36"/>
      <c r="AU160" s="36"/>
      <c r="AV160" s="36"/>
      <c r="AW160" s="36"/>
      <c r="AX160" s="36"/>
      <c r="AY160" s="36"/>
      <c r="AZ160" s="36"/>
      <c r="BA160" s="36"/>
      <c r="GH160" s="55"/>
      <c r="KD160" s="15"/>
      <c r="KE160" s="51"/>
      <c r="KH160" s="15"/>
      <c r="KI160" s="15"/>
    </row>
    <row r="161" spans="3:295">
      <c r="C161" s="1"/>
      <c r="AE161" s="51"/>
      <c r="AO161" s="49"/>
      <c r="AQ161" s="36"/>
      <c r="AR161" s="36"/>
      <c r="AS161" s="36"/>
      <c r="AT161" s="36"/>
      <c r="AU161" s="36"/>
      <c r="AV161" s="36"/>
      <c r="AW161" s="36"/>
      <c r="AX161" s="36"/>
      <c r="AY161" s="36"/>
      <c r="AZ161" s="36"/>
      <c r="BA161" s="36"/>
      <c r="GH161" s="55"/>
      <c r="KD161" s="15"/>
      <c r="KE161" s="51"/>
      <c r="KH161" s="15"/>
      <c r="KI161" s="15"/>
    </row>
    <row r="162" spans="3:295">
      <c r="C162" s="1"/>
      <c r="AE162" s="51"/>
      <c r="AO162" s="49"/>
      <c r="AQ162" s="36"/>
      <c r="AR162" s="36"/>
      <c r="AS162" s="36"/>
      <c r="AT162" s="36"/>
      <c r="AU162" s="36"/>
      <c r="AV162" s="36"/>
      <c r="AW162" s="36"/>
      <c r="AX162" s="36"/>
      <c r="AY162" s="36"/>
      <c r="AZ162" s="36"/>
      <c r="BA162" s="36"/>
      <c r="GH162" s="55"/>
      <c r="KD162" s="15"/>
      <c r="KE162" s="51"/>
      <c r="KH162" s="15"/>
      <c r="KI162" s="15"/>
    </row>
    <row r="163" spans="3:295">
      <c r="C163" s="1"/>
      <c r="AE163" s="51"/>
      <c r="AO163" s="49"/>
      <c r="AQ163" s="36"/>
      <c r="AR163" s="36"/>
      <c r="AS163" s="36"/>
      <c r="AT163" s="36"/>
      <c r="AU163" s="36"/>
      <c r="AV163" s="36"/>
      <c r="AW163" s="36"/>
      <c r="AX163" s="36"/>
      <c r="AY163" s="36"/>
      <c r="AZ163" s="36"/>
      <c r="BA163" s="36"/>
      <c r="GH163" s="55"/>
      <c r="KD163" s="15"/>
      <c r="KE163" s="51"/>
      <c r="KH163" s="15"/>
      <c r="KI163" s="15"/>
    </row>
    <row r="164" spans="3:295">
      <c r="C164" s="1"/>
      <c r="AE164" s="51"/>
      <c r="AO164" s="49"/>
      <c r="AQ164" s="36"/>
      <c r="AR164" s="36"/>
      <c r="AS164" s="36"/>
      <c r="AT164" s="36"/>
      <c r="AU164" s="36"/>
      <c r="AV164" s="36"/>
      <c r="AW164" s="36"/>
      <c r="AX164" s="36"/>
      <c r="AY164" s="36"/>
      <c r="AZ164" s="36"/>
      <c r="BA164" s="36"/>
      <c r="GH164" s="55"/>
      <c r="KD164" s="15"/>
      <c r="KE164" s="51"/>
      <c r="KH164" s="15"/>
      <c r="KI164" s="15"/>
    </row>
    <row r="165" spans="3:295">
      <c r="C165" s="1"/>
      <c r="AE165" s="51"/>
      <c r="AO165" s="49"/>
      <c r="AQ165" s="36"/>
      <c r="AR165" s="36"/>
      <c r="AS165" s="36"/>
      <c r="AT165" s="36"/>
      <c r="AU165" s="36"/>
      <c r="AV165" s="36"/>
      <c r="AW165" s="36"/>
      <c r="AX165" s="36"/>
      <c r="AY165" s="36"/>
      <c r="AZ165" s="36"/>
      <c r="BA165" s="36"/>
      <c r="GH165" s="55"/>
      <c r="KD165" s="15"/>
      <c r="KE165" s="51"/>
      <c r="KH165" s="15"/>
      <c r="KI165" s="15"/>
    </row>
    <row r="166" spans="3:295">
      <c r="C166" s="1"/>
      <c r="AE166" s="51"/>
      <c r="AO166" s="49"/>
      <c r="AQ166" s="36"/>
      <c r="AR166" s="36"/>
      <c r="AS166" s="36"/>
      <c r="AT166" s="36"/>
      <c r="AU166" s="36"/>
      <c r="AV166" s="36"/>
      <c r="AW166" s="36"/>
      <c r="AX166" s="36"/>
      <c r="AY166" s="36"/>
      <c r="AZ166" s="36"/>
      <c r="BA166" s="36"/>
      <c r="GH166" s="55"/>
      <c r="KD166" s="15"/>
      <c r="KE166" s="51"/>
      <c r="KH166" s="15"/>
      <c r="KI166" s="15"/>
    </row>
    <row r="167" spans="3:295">
      <c r="C167" s="1"/>
      <c r="AE167" s="51"/>
      <c r="AO167" s="49"/>
      <c r="AQ167" s="36"/>
      <c r="AR167" s="36"/>
      <c r="AS167" s="36"/>
      <c r="AT167" s="36"/>
      <c r="AU167" s="36"/>
      <c r="AV167" s="36"/>
      <c r="AW167" s="36"/>
      <c r="AX167" s="36"/>
      <c r="AY167" s="36"/>
      <c r="AZ167" s="36"/>
      <c r="BA167" s="36"/>
      <c r="GH167" s="55"/>
      <c r="KD167" s="15"/>
      <c r="KE167" s="51"/>
      <c r="KH167" s="15"/>
      <c r="KI167" s="15"/>
    </row>
    <row r="168" spans="3:295">
      <c r="C168" s="1"/>
      <c r="AE168" s="51"/>
      <c r="AO168" s="49"/>
      <c r="AQ168" s="36"/>
      <c r="AR168" s="36"/>
      <c r="AS168" s="36"/>
      <c r="AT168" s="36"/>
      <c r="AU168" s="36"/>
      <c r="AV168" s="36"/>
      <c r="AW168" s="36"/>
      <c r="AX168" s="36"/>
      <c r="AY168" s="36"/>
      <c r="AZ168" s="36"/>
      <c r="BA168" s="36"/>
      <c r="GH168" s="55"/>
      <c r="KD168" s="15"/>
      <c r="KE168" s="51"/>
      <c r="KH168" s="15"/>
      <c r="KI168" s="15"/>
    </row>
    <row r="169" spans="3:295">
      <c r="C169" s="1"/>
      <c r="AE169" s="51"/>
      <c r="AO169" s="49"/>
      <c r="AQ169" s="36"/>
      <c r="AR169" s="36"/>
      <c r="AS169" s="36"/>
      <c r="AT169" s="36"/>
      <c r="AU169" s="36"/>
      <c r="AV169" s="36"/>
      <c r="AW169" s="36"/>
      <c r="AX169" s="36"/>
      <c r="AY169" s="36"/>
      <c r="AZ169" s="36"/>
      <c r="BA169" s="36"/>
      <c r="GH169" s="55"/>
      <c r="KD169" s="15"/>
      <c r="KE169" s="51"/>
      <c r="KH169" s="15"/>
      <c r="KI169" s="15"/>
    </row>
    <row r="170" spans="3:295">
      <c r="C170" s="1"/>
      <c r="AE170" s="51"/>
      <c r="AO170" s="49"/>
      <c r="AQ170" s="36"/>
      <c r="AR170" s="36"/>
      <c r="AS170" s="36"/>
      <c r="AT170" s="36"/>
      <c r="AU170" s="36"/>
      <c r="AV170" s="36"/>
      <c r="AW170" s="36"/>
      <c r="AX170" s="36"/>
      <c r="AY170" s="36"/>
      <c r="AZ170" s="36"/>
      <c r="BA170" s="36"/>
      <c r="GH170" s="55"/>
      <c r="KD170" s="15"/>
      <c r="KE170" s="51"/>
      <c r="KH170" s="15"/>
      <c r="KI170" s="15"/>
    </row>
    <row r="171" spans="3:295">
      <c r="C171" s="1"/>
      <c r="AE171" s="51"/>
      <c r="AO171" s="49"/>
      <c r="AQ171" s="36"/>
      <c r="AR171" s="36"/>
      <c r="AS171" s="36"/>
      <c r="AT171" s="36"/>
      <c r="AU171" s="36"/>
      <c r="AV171" s="36"/>
      <c r="AW171" s="36"/>
      <c r="AX171" s="36"/>
      <c r="AY171" s="36"/>
      <c r="AZ171" s="36"/>
      <c r="BA171" s="36"/>
      <c r="GH171" s="55"/>
      <c r="KD171" s="15"/>
      <c r="KE171" s="51"/>
      <c r="KH171" s="15"/>
      <c r="KI171" s="15"/>
    </row>
    <row r="172" spans="3:295">
      <c r="C172" s="1"/>
      <c r="AE172" s="51"/>
      <c r="AO172" s="49"/>
      <c r="AQ172" s="36"/>
      <c r="AR172" s="36"/>
      <c r="AS172" s="36"/>
      <c r="AT172" s="36"/>
      <c r="AU172" s="36"/>
      <c r="AV172" s="36"/>
      <c r="AW172" s="36"/>
      <c r="AX172" s="36"/>
      <c r="AY172" s="36"/>
      <c r="AZ172" s="36"/>
      <c r="BA172" s="36"/>
      <c r="GH172" s="55"/>
      <c r="KD172" s="15"/>
      <c r="KE172" s="51"/>
      <c r="KH172" s="15"/>
      <c r="KI172" s="15"/>
    </row>
    <row r="173" spans="3:295">
      <c r="C173" s="1"/>
      <c r="AE173" s="51"/>
      <c r="AO173" s="49"/>
      <c r="AQ173" s="36"/>
      <c r="AR173" s="36"/>
      <c r="AS173" s="36"/>
      <c r="AT173" s="36"/>
      <c r="AU173" s="36"/>
      <c r="AV173" s="36"/>
      <c r="AW173" s="36"/>
      <c r="AX173" s="36"/>
      <c r="AY173" s="36"/>
      <c r="AZ173" s="36"/>
      <c r="BA173" s="36"/>
      <c r="GH173" s="55"/>
      <c r="KD173" s="15"/>
      <c r="KE173" s="51"/>
      <c r="KH173" s="15"/>
      <c r="KI173" s="15"/>
    </row>
    <row r="174" spans="3:295">
      <c r="C174" s="1"/>
      <c r="AE174" s="51"/>
      <c r="AO174" s="49"/>
      <c r="AQ174" s="36"/>
      <c r="AR174" s="36"/>
      <c r="AS174" s="36"/>
      <c r="AT174" s="36"/>
      <c r="AU174" s="36"/>
      <c r="AV174" s="36"/>
      <c r="AW174" s="36"/>
      <c r="AX174" s="36"/>
      <c r="AY174" s="36"/>
      <c r="AZ174" s="36"/>
      <c r="BA174" s="36"/>
      <c r="GH174" s="55"/>
      <c r="KD174" s="15"/>
      <c r="KE174" s="51"/>
      <c r="KH174" s="15"/>
      <c r="KI174" s="15"/>
    </row>
    <row r="175" spans="3:295">
      <c r="C175" s="1"/>
      <c r="AE175" s="51"/>
      <c r="AO175" s="49"/>
      <c r="AQ175" s="36"/>
      <c r="AR175" s="36"/>
      <c r="AS175" s="36"/>
      <c r="AT175" s="36"/>
      <c r="AU175" s="36"/>
      <c r="AV175" s="36"/>
      <c r="AW175" s="36"/>
      <c r="AX175" s="36"/>
      <c r="AY175" s="36"/>
      <c r="AZ175" s="36"/>
      <c r="BA175" s="36"/>
      <c r="GH175" s="55"/>
      <c r="KD175" s="15"/>
      <c r="KE175" s="51"/>
      <c r="KH175" s="15"/>
      <c r="KI175" s="15"/>
    </row>
    <row r="176" spans="3:295">
      <c r="C176" s="1"/>
      <c r="AE176" s="51"/>
      <c r="AO176" s="49"/>
      <c r="AQ176" s="36"/>
      <c r="AR176" s="36"/>
      <c r="AS176" s="36"/>
      <c r="AT176" s="36"/>
      <c r="AU176" s="36"/>
      <c r="AV176" s="36"/>
      <c r="AW176" s="36"/>
      <c r="AX176" s="36"/>
      <c r="AY176" s="36"/>
      <c r="AZ176" s="36"/>
      <c r="BA176" s="36"/>
      <c r="GH176" s="55"/>
      <c r="KD176" s="15"/>
      <c r="KE176" s="51"/>
      <c r="KH176" s="15"/>
      <c r="KI176" s="15"/>
    </row>
    <row r="177" spans="3:295">
      <c r="C177" s="1"/>
      <c r="AE177" s="51"/>
      <c r="AO177" s="49"/>
      <c r="AQ177" s="36"/>
      <c r="AR177" s="36"/>
      <c r="AS177" s="36"/>
      <c r="AT177" s="36"/>
      <c r="AU177" s="36"/>
      <c r="AV177" s="36"/>
      <c r="AW177" s="36"/>
      <c r="AX177" s="36"/>
      <c r="AY177" s="36"/>
      <c r="AZ177" s="36"/>
      <c r="BA177" s="36"/>
      <c r="GH177" s="55"/>
      <c r="KD177" s="15"/>
      <c r="KE177" s="51"/>
      <c r="KH177" s="15"/>
      <c r="KI177" s="15"/>
    </row>
    <row r="178" spans="3:295">
      <c r="C178" s="1"/>
      <c r="AE178" s="51"/>
      <c r="AO178" s="49"/>
      <c r="AQ178" s="36"/>
      <c r="AR178" s="36"/>
      <c r="AS178" s="36"/>
      <c r="AT178" s="36"/>
      <c r="AU178" s="36"/>
      <c r="AV178" s="36"/>
      <c r="AW178" s="36"/>
      <c r="AX178" s="36"/>
      <c r="AY178" s="36"/>
      <c r="AZ178" s="36"/>
      <c r="BA178" s="36"/>
      <c r="GH178" s="55"/>
      <c r="KD178" s="15"/>
      <c r="KE178" s="51"/>
      <c r="KH178" s="15"/>
      <c r="KI178" s="15"/>
    </row>
    <row r="179" spans="3:295">
      <c r="C179" s="1"/>
      <c r="AE179" s="51"/>
      <c r="AO179" s="49"/>
      <c r="AQ179" s="36"/>
      <c r="AR179" s="36"/>
      <c r="AS179" s="36"/>
      <c r="AT179" s="36"/>
      <c r="AU179" s="36"/>
      <c r="AV179" s="36"/>
      <c r="AW179" s="36"/>
      <c r="AX179" s="36"/>
      <c r="AY179" s="36"/>
      <c r="AZ179" s="36"/>
      <c r="BA179" s="36"/>
      <c r="GH179" s="55"/>
      <c r="KD179" s="15"/>
      <c r="KE179" s="51"/>
      <c r="KH179" s="15"/>
      <c r="KI179" s="15"/>
    </row>
    <row r="180" spans="3:295">
      <c r="C180" s="1"/>
      <c r="AE180" s="51"/>
      <c r="AO180" s="49"/>
      <c r="AQ180" s="36"/>
      <c r="AR180" s="36"/>
      <c r="AS180" s="36"/>
      <c r="AT180" s="36"/>
      <c r="AU180" s="36"/>
      <c r="AV180" s="36"/>
      <c r="AW180" s="36"/>
      <c r="AX180" s="36"/>
      <c r="AY180" s="36"/>
      <c r="AZ180" s="36"/>
      <c r="BA180" s="36"/>
      <c r="GH180" s="55"/>
      <c r="KD180" s="15"/>
      <c r="KE180" s="51"/>
      <c r="KH180" s="15"/>
      <c r="KI180" s="15"/>
    </row>
    <row r="181" spans="3:295">
      <c r="C181" s="1"/>
      <c r="AE181" s="51"/>
      <c r="AO181" s="49"/>
      <c r="AQ181" s="36"/>
      <c r="AR181" s="36"/>
      <c r="AS181" s="36"/>
      <c r="AT181" s="36"/>
      <c r="AU181" s="36"/>
      <c r="AV181" s="36"/>
      <c r="AW181" s="36"/>
      <c r="AX181" s="36"/>
      <c r="AY181" s="36"/>
      <c r="AZ181" s="36"/>
      <c r="BA181" s="36"/>
      <c r="GH181" s="55"/>
      <c r="KD181" s="15"/>
      <c r="KE181" s="51"/>
      <c r="KH181" s="15"/>
      <c r="KI181" s="15"/>
    </row>
    <row r="182" spans="3:295">
      <c r="C182" s="1"/>
      <c r="AE182" s="51"/>
      <c r="AO182" s="49"/>
      <c r="AQ182" s="36"/>
      <c r="AR182" s="36"/>
      <c r="AS182" s="36"/>
      <c r="AT182" s="36"/>
      <c r="AU182" s="36"/>
      <c r="AV182" s="36"/>
      <c r="AW182" s="36"/>
      <c r="AX182" s="36"/>
      <c r="AY182" s="36"/>
      <c r="AZ182" s="36"/>
      <c r="BA182" s="36"/>
      <c r="GH182" s="55"/>
      <c r="KD182" s="15"/>
      <c r="KE182" s="51"/>
      <c r="KH182" s="15"/>
      <c r="KI182" s="15"/>
    </row>
    <row r="183" spans="3:295">
      <c r="C183" s="1"/>
      <c r="AE183" s="51"/>
      <c r="AO183" s="49"/>
      <c r="AQ183" s="36"/>
      <c r="AR183" s="36"/>
      <c r="AS183" s="36"/>
      <c r="AT183" s="36"/>
      <c r="AU183" s="36"/>
      <c r="AV183" s="36"/>
      <c r="AW183" s="36"/>
      <c r="AX183" s="36"/>
      <c r="AY183" s="36"/>
      <c r="AZ183" s="36"/>
      <c r="BA183" s="36"/>
      <c r="GH183" s="55"/>
      <c r="KD183" s="15"/>
      <c r="KE183" s="51"/>
      <c r="KH183" s="15"/>
      <c r="KI183" s="15"/>
    </row>
    <row r="184" spans="3:295">
      <c r="C184" s="1"/>
      <c r="AE184" s="51"/>
      <c r="AO184" s="49"/>
      <c r="AQ184" s="36"/>
      <c r="AR184" s="36"/>
      <c r="AS184" s="36"/>
      <c r="AT184" s="36"/>
      <c r="AU184" s="36"/>
      <c r="AV184" s="36"/>
      <c r="AW184" s="36"/>
      <c r="AX184" s="36"/>
      <c r="AY184" s="36"/>
      <c r="AZ184" s="36"/>
      <c r="BA184" s="36"/>
      <c r="GH184" s="55"/>
      <c r="KD184" s="15"/>
      <c r="KE184" s="51"/>
      <c r="KH184" s="15"/>
      <c r="KI184" s="15"/>
    </row>
    <row r="185" spans="3:295">
      <c r="C185" s="1"/>
      <c r="AE185" s="51"/>
      <c r="AO185" s="49"/>
      <c r="AQ185" s="36"/>
      <c r="AR185" s="36"/>
      <c r="AS185" s="36"/>
      <c r="AT185" s="36"/>
      <c r="AU185" s="36"/>
      <c r="AV185" s="36"/>
      <c r="AW185" s="36"/>
      <c r="AX185" s="36"/>
      <c r="AY185" s="36"/>
      <c r="AZ185" s="36"/>
      <c r="BA185" s="36"/>
      <c r="GH185" s="55"/>
      <c r="KD185" s="15"/>
      <c r="KE185" s="51"/>
      <c r="KH185" s="15"/>
      <c r="KI185" s="15"/>
    </row>
    <row r="186" spans="3:295">
      <c r="C186" s="1"/>
      <c r="AE186" s="51"/>
      <c r="AO186" s="49"/>
      <c r="AQ186" s="36"/>
      <c r="AR186" s="36"/>
      <c r="AS186" s="36"/>
      <c r="AT186" s="36"/>
      <c r="AU186" s="36"/>
      <c r="AV186" s="36"/>
      <c r="AW186" s="36"/>
      <c r="AX186" s="36"/>
      <c r="AY186" s="36"/>
      <c r="AZ186" s="36"/>
      <c r="BA186" s="36"/>
      <c r="GH186" s="55"/>
      <c r="KD186" s="15"/>
      <c r="KE186" s="51"/>
      <c r="KH186" s="15"/>
      <c r="KI186" s="15"/>
    </row>
    <row r="187" spans="3:295">
      <c r="C187" s="1"/>
      <c r="AE187" s="51"/>
      <c r="AO187" s="49"/>
      <c r="AQ187" s="36"/>
      <c r="AR187" s="36"/>
      <c r="AS187" s="36"/>
      <c r="AT187" s="36"/>
      <c r="AU187" s="36"/>
      <c r="AV187" s="36"/>
      <c r="AW187" s="36"/>
      <c r="AX187" s="36"/>
      <c r="AY187" s="36"/>
      <c r="AZ187" s="36"/>
      <c r="BA187" s="36"/>
      <c r="GH187" s="55"/>
      <c r="KD187" s="15"/>
      <c r="KE187" s="51"/>
      <c r="KH187" s="15"/>
      <c r="KI187" s="15"/>
    </row>
    <row r="188" spans="3:295">
      <c r="C188" s="1"/>
      <c r="AE188" s="51"/>
      <c r="AO188" s="49"/>
      <c r="AQ188" s="36"/>
      <c r="AR188" s="36"/>
      <c r="AS188" s="36"/>
      <c r="AT188" s="36"/>
      <c r="AU188" s="36"/>
      <c r="AV188" s="36"/>
      <c r="AW188" s="36"/>
      <c r="AX188" s="36"/>
      <c r="AY188" s="36"/>
      <c r="AZ188" s="36"/>
      <c r="BA188" s="36"/>
      <c r="GH188" s="55"/>
      <c r="KD188" s="15"/>
      <c r="KE188" s="51"/>
      <c r="KH188" s="15"/>
      <c r="KI188" s="15"/>
    </row>
    <row r="189" spans="3:295">
      <c r="C189" s="1"/>
      <c r="AE189" s="51"/>
      <c r="AO189" s="49"/>
      <c r="AQ189" s="36"/>
      <c r="AR189" s="36"/>
      <c r="AS189" s="36"/>
      <c r="AT189" s="36"/>
      <c r="AU189" s="36"/>
      <c r="AV189" s="36"/>
      <c r="AW189" s="36"/>
      <c r="AX189" s="36"/>
      <c r="AY189" s="36"/>
      <c r="AZ189" s="36"/>
      <c r="BA189" s="36"/>
      <c r="GH189" s="55"/>
      <c r="KD189" s="15"/>
      <c r="KE189" s="51"/>
      <c r="KH189" s="15"/>
      <c r="KI189" s="15"/>
    </row>
    <row r="190" spans="3:295">
      <c r="C190" s="1"/>
      <c r="AE190" s="51"/>
      <c r="AO190" s="49"/>
      <c r="AQ190" s="36"/>
      <c r="AR190" s="36"/>
      <c r="AS190" s="36"/>
      <c r="AT190" s="36"/>
      <c r="AU190" s="36"/>
      <c r="AV190" s="36"/>
      <c r="AW190" s="36"/>
      <c r="AX190" s="36"/>
      <c r="AY190" s="36"/>
      <c r="AZ190" s="36"/>
      <c r="BA190" s="36"/>
      <c r="GH190" s="55"/>
      <c r="KD190" s="15"/>
      <c r="KE190" s="51"/>
      <c r="KH190" s="15"/>
      <c r="KI190" s="15"/>
    </row>
    <row r="191" spans="3:295">
      <c r="C191" s="1"/>
      <c r="AE191" s="51"/>
      <c r="AO191" s="49"/>
      <c r="AQ191" s="36"/>
      <c r="AR191" s="36"/>
      <c r="AS191" s="36"/>
      <c r="AT191" s="36"/>
      <c r="AU191" s="36"/>
      <c r="AV191" s="36"/>
      <c r="AW191" s="36"/>
      <c r="AX191" s="36"/>
      <c r="AY191" s="36"/>
      <c r="AZ191" s="36"/>
      <c r="BA191" s="36"/>
      <c r="GH191" s="55"/>
      <c r="KD191" s="15"/>
      <c r="KE191" s="51"/>
      <c r="KH191" s="15"/>
      <c r="KI191" s="15"/>
    </row>
    <row r="192" spans="3:295">
      <c r="C192" s="1"/>
      <c r="AE192" s="51"/>
      <c r="AO192" s="49"/>
      <c r="AQ192" s="36"/>
      <c r="AR192" s="36"/>
      <c r="AS192" s="36"/>
      <c r="AT192" s="36"/>
      <c r="AU192" s="36"/>
      <c r="AV192" s="36"/>
      <c r="AW192" s="36"/>
      <c r="AX192" s="36"/>
      <c r="AY192" s="36"/>
      <c r="AZ192" s="36"/>
      <c r="BA192" s="36"/>
      <c r="GH192" s="55"/>
      <c r="KD192" s="15"/>
      <c r="KE192" s="51"/>
      <c r="KH192" s="15"/>
      <c r="KI192" s="15"/>
    </row>
    <row r="193" spans="3:295">
      <c r="C193" s="1"/>
      <c r="AE193" s="51"/>
      <c r="AO193" s="49"/>
      <c r="AQ193" s="36"/>
      <c r="AR193" s="36"/>
      <c r="AS193" s="36"/>
      <c r="AT193" s="36"/>
      <c r="AU193" s="36"/>
      <c r="AV193" s="36"/>
      <c r="AW193" s="36"/>
      <c r="AX193" s="36"/>
      <c r="AY193" s="36"/>
      <c r="AZ193" s="36"/>
      <c r="BA193" s="36"/>
      <c r="GH193" s="55"/>
      <c r="KD193" s="15"/>
      <c r="KE193" s="51"/>
      <c r="KH193" s="15"/>
      <c r="KI193" s="15"/>
    </row>
    <row r="194" spans="3:295">
      <c r="C194" s="1"/>
      <c r="AE194" s="51"/>
      <c r="AO194" s="49"/>
      <c r="AQ194" s="36"/>
      <c r="AR194" s="36"/>
      <c r="AS194" s="36"/>
      <c r="AT194" s="36"/>
      <c r="AU194" s="36"/>
      <c r="AV194" s="36"/>
      <c r="AW194" s="36"/>
      <c r="AX194" s="36"/>
      <c r="AY194" s="36"/>
      <c r="AZ194" s="36"/>
      <c r="BA194" s="36"/>
      <c r="GH194" s="55"/>
      <c r="KD194" s="15"/>
      <c r="KE194" s="51"/>
      <c r="KH194" s="15"/>
      <c r="KI194" s="15"/>
    </row>
    <row r="195" spans="3:295">
      <c r="C195" s="1"/>
      <c r="AE195" s="51"/>
      <c r="AO195" s="49"/>
      <c r="AQ195" s="36"/>
      <c r="AR195" s="36"/>
      <c r="AS195" s="36"/>
      <c r="AT195" s="36"/>
      <c r="AU195" s="36"/>
      <c r="AV195" s="36"/>
      <c r="AW195" s="36"/>
      <c r="AX195" s="36"/>
      <c r="AY195" s="36"/>
      <c r="AZ195" s="36"/>
      <c r="BA195" s="36"/>
      <c r="GH195" s="55"/>
      <c r="KD195" s="15"/>
      <c r="KE195" s="51"/>
      <c r="KH195" s="15"/>
      <c r="KI195" s="15"/>
    </row>
    <row r="196" spans="3:295">
      <c r="C196" s="1"/>
      <c r="AE196" s="51"/>
      <c r="AO196" s="49"/>
      <c r="AQ196" s="36"/>
      <c r="AR196" s="36"/>
      <c r="AS196" s="36"/>
      <c r="AT196" s="36"/>
      <c r="AU196" s="36"/>
      <c r="AV196" s="36"/>
      <c r="AW196" s="36"/>
      <c r="AX196" s="36"/>
      <c r="AY196" s="36"/>
      <c r="AZ196" s="36"/>
      <c r="BA196" s="36"/>
      <c r="GH196" s="55"/>
      <c r="KD196" s="15"/>
      <c r="KE196" s="51"/>
      <c r="KH196" s="15"/>
      <c r="KI196" s="15"/>
    </row>
    <row r="197" spans="3:295">
      <c r="C197" s="1"/>
      <c r="AE197" s="51"/>
      <c r="AO197" s="49"/>
      <c r="AQ197" s="36"/>
      <c r="AR197" s="36"/>
      <c r="AS197" s="36"/>
      <c r="AT197" s="36"/>
      <c r="AU197" s="36"/>
      <c r="AV197" s="36"/>
      <c r="AW197" s="36"/>
      <c r="AX197" s="36"/>
      <c r="AY197" s="36"/>
      <c r="AZ197" s="36"/>
      <c r="BA197" s="36"/>
      <c r="GH197" s="55"/>
      <c r="KD197" s="15"/>
      <c r="KE197" s="51"/>
      <c r="KH197" s="15"/>
      <c r="KI197" s="15"/>
    </row>
    <row r="198" spans="3:295">
      <c r="C198" s="1"/>
      <c r="AE198" s="51"/>
      <c r="AO198" s="49"/>
      <c r="AQ198" s="36"/>
      <c r="AR198" s="36"/>
      <c r="AS198" s="36"/>
      <c r="AT198" s="36"/>
      <c r="AU198" s="36"/>
      <c r="AV198" s="36"/>
      <c r="AW198" s="36"/>
      <c r="AX198" s="36"/>
      <c r="AY198" s="36"/>
      <c r="AZ198" s="36"/>
      <c r="BA198" s="36"/>
      <c r="GH198" s="55"/>
      <c r="KD198" s="15"/>
      <c r="KE198" s="51"/>
      <c r="KH198" s="15"/>
      <c r="KI198" s="15"/>
    </row>
    <row r="199" spans="3:295">
      <c r="C199" s="1"/>
      <c r="AE199" s="51"/>
      <c r="AO199" s="49"/>
      <c r="AQ199" s="36"/>
      <c r="AR199" s="36"/>
      <c r="AS199" s="36"/>
      <c r="AT199" s="36"/>
      <c r="AU199" s="36"/>
      <c r="AV199" s="36"/>
      <c r="AW199" s="36"/>
      <c r="AX199" s="36"/>
      <c r="AY199" s="36"/>
      <c r="AZ199" s="36"/>
      <c r="BA199" s="36"/>
      <c r="GH199" s="55"/>
      <c r="KD199" s="15"/>
      <c r="KE199" s="51"/>
      <c r="KH199" s="15"/>
      <c r="KI199" s="15"/>
    </row>
    <row r="200" spans="3:295">
      <c r="C200" s="1"/>
      <c r="AE200" s="51"/>
      <c r="AO200" s="49"/>
      <c r="AQ200" s="36"/>
      <c r="AR200" s="36"/>
      <c r="AS200" s="36"/>
      <c r="AT200" s="36"/>
      <c r="AU200" s="36"/>
      <c r="AV200" s="36"/>
      <c r="AW200" s="36"/>
      <c r="AX200" s="36"/>
      <c r="AY200" s="36"/>
      <c r="AZ200" s="36"/>
      <c r="BA200" s="36"/>
      <c r="GH200" s="55"/>
      <c r="KD200" s="15"/>
      <c r="KE200" s="51"/>
      <c r="KH200" s="15"/>
      <c r="KI200" s="15"/>
    </row>
    <row r="201" spans="3:295">
      <c r="C201" s="1"/>
      <c r="AE201" s="51"/>
      <c r="AO201" s="49"/>
      <c r="AQ201" s="36"/>
      <c r="AR201" s="36"/>
      <c r="AS201" s="36"/>
      <c r="AT201" s="36"/>
      <c r="AU201" s="36"/>
      <c r="AV201" s="36"/>
      <c r="AW201" s="36"/>
      <c r="AX201" s="36"/>
      <c r="AY201" s="36"/>
      <c r="AZ201" s="36"/>
      <c r="BA201" s="36"/>
      <c r="GH201" s="55"/>
      <c r="KD201" s="15"/>
      <c r="KE201" s="51"/>
      <c r="KH201" s="15"/>
      <c r="KI201" s="15"/>
    </row>
    <row r="202" spans="3:295">
      <c r="C202" s="1"/>
      <c r="AE202" s="51"/>
      <c r="AO202" s="49"/>
      <c r="AQ202" s="36"/>
      <c r="AR202" s="36"/>
      <c r="AS202" s="36"/>
      <c r="AT202" s="36"/>
      <c r="AU202" s="36"/>
      <c r="AV202" s="36"/>
      <c r="AW202" s="36"/>
      <c r="AX202" s="36"/>
      <c r="AY202" s="36"/>
      <c r="AZ202" s="36"/>
      <c r="BA202" s="36"/>
      <c r="GH202" s="55"/>
      <c r="KD202" s="15"/>
      <c r="KE202" s="51"/>
      <c r="KH202" s="15"/>
      <c r="KI202" s="15"/>
    </row>
    <row r="203" spans="3:295">
      <c r="C203" s="1"/>
      <c r="AE203" s="51"/>
      <c r="AO203" s="49"/>
      <c r="AQ203" s="36"/>
      <c r="AR203" s="36"/>
      <c r="AS203" s="36"/>
      <c r="AT203" s="36"/>
      <c r="AU203" s="36"/>
      <c r="AV203" s="36"/>
      <c r="AW203" s="36"/>
      <c r="AX203" s="36"/>
      <c r="AY203" s="36"/>
      <c r="AZ203" s="36"/>
      <c r="BA203" s="36"/>
      <c r="GH203" s="55"/>
      <c r="KD203" s="15"/>
      <c r="KE203" s="51"/>
      <c r="KH203" s="15"/>
      <c r="KI203" s="15"/>
    </row>
    <row r="204" spans="3:295">
      <c r="C204" s="1"/>
      <c r="AE204" s="51"/>
      <c r="AO204" s="49"/>
      <c r="AQ204" s="36"/>
      <c r="AR204" s="36"/>
      <c r="AS204" s="36"/>
      <c r="AT204" s="36"/>
      <c r="AU204" s="36"/>
      <c r="AV204" s="36"/>
      <c r="AW204" s="36"/>
      <c r="AX204" s="36"/>
      <c r="AY204" s="36"/>
      <c r="AZ204" s="36"/>
      <c r="BA204" s="36"/>
      <c r="GH204" s="55"/>
      <c r="KD204" s="15"/>
      <c r="KE204" s="51"/>
      <c r="KH204" s="15"/>
      <c r="KI204" s="15"/>
    </row>
    <row r="205" spans="3:295">
      <c r="C205" s="1"/>
      <c r="AE205" s="51"/>
      <c r="AO205" s="49"/>
      <c r="AQ205" s="36"/>
      <c r="AR205" s="36"/>
      <c r="AS205" s="36"/>
      <c r="AT205" s="36"/>
      <c r="AU205" s="36"/>
      <c r="AV205" s="36"/>
      <c r="AW205" s="36"/>
      <c r="AX205" s="36"/>
      <c r="AY205" s="36"/>
      <c r="AZ205" s="36"/>
      <c r="BA205" s="36"/>
      <c r="GH205" s="55"/>
      <c r="KD205" s="15"/>
      <c r="KE205" s="51"/>
      <c r="KH205" s="15"/>
      <c r="KI205" s="15"/>
    </row>
    <row r="206" spans="3:295">
      <c r="C206" s="1"/>
      <c r="AE206" s="51"/>
      <c r="AO206" s="49"/>
      <c r="AQ206" s="36"/>
      <c r="AR206" s="36"/>
      <c r="AS206" s="36"/>
      <c r="AT206" s="36"/>
      <c r="AU206" s="36"/>
      <c r="AV206" s="36"/>
      <c r="AW206" s="36"/>
      <c r="AX206" s="36"/>
      <c r="AY206" s="36"/>
      <c r="AZ206" s="36"/>
      <c r="BA206" s="36"/>
      <c r="GH206" s="55"/>
      <c r="KD206" s="15"/>
      <c r="KE206" s="51"/>
      <c r="KH206" s="15"/>
      <c r="KI206" s="15"/>
    </row>
    <row r="207" spans="3:295">
      <c r="C207" s="1"/>
      <c r="AE207" s="51"/>
      <c r="AO207" s="49"/>
      <c r="AQ207" s="36"/>
      <c r="AR207" s="36"/>
      <c r="AS207" s="36"/>
      <c r="AT207" s="36"/>
      <c r="AU207" s="36"/>
      <c r="AV207" s="36"/>
      <c r="AW207" s="36"/>
      <c r="AX207" s="36"/>
      <c r="AY207" s="36"/>
      <c r="AZ207" s="36"/>
      <c r="BA207" s="36"/>
      <c r="GH207" s="55"/>
      <c r="KD207" s="15"/>
      <c r="KE207" s="51"/>
      <c r="KH207" s="15"/>
      <c r="KI207" s="15"/>
    </row>
    <row r="208" spans="3:295">
      <c r="C208" s="1"/>
      <c r="AE208" s="51"/>
      <c r="AO208" s="49"/>
      <c r="AQ208" s="36"/>
      <c r="AR208" s="36"/>
      <c r="AS208" s="36"/>
      <c r="AT208" s="36"/>
      <c r="AU208" s="36"/>
      <c r="AV208" s="36"/>
      <c r="AW208" s="36"/>
      <c r="AX208" s="36"/>
      <c r="AY208" s="36"/>
      <c r="AZ208" s="36"/>
      <c r="BA208" s="36"/>
      <c r="GH208" s="55"/>
      <c r="KD208" s="15"/>
      <c r="KE208" s="51"/>
      <c r="KH208" s="15"/>
      <c r="KI208" s="15"/>
    </row>
    <row r="209" spans="3:295">
      <c r="C209" s="1"/>
      <c r="AE209" s="51"/>
      <c r="AO209" s="49"/>
      <c r="AQ209" s="36"/>
      <c r="AR209" s="36"/>
      <c r="AS209" s="36"/>
      <c r="AT209" s="36"/>
      <c r="AU209" s="36"/>
      <c r="AV209" s="36"/>
      <c r="AW209" s="36"/>
      <c r="AX209" s="36"/>
      <c r="AY209" s="36"/>
      <c r="AZ209" s="36"/>
      <c r="BA209" s="36"/>
      <c r="GH209" s="55"/>
      <c r="KD209" s="15"/>
      <c r="KE209" s="51"/>
      <c r="KH209" s="15"/>
      <c r="KI209" s="15"/>
    </row>
    <row r="210" spans="3:295">
      <c r="C210" s="1"/>
      <c r="AE210" s="51"/>
      <c r="AO210" s="49"/>
      <c r="AQ210" s="36"/>
      <c r="AR210" s="36"/>
      <c r="AS210" s="36"/>
      <c r="AT210" s="36"/>
      <c r="AU210" s="36"/>
      <c r="AV210" s="36"/>
      <c r="AW210" s="36"/>
      <c r="AX210" s="36"/>
      <c r="AY210" s="36"/>
      <c r="AZ210" s="36"/>
      <c r="BA210" s="36"/>
      <c r="GH210" s="55"/>
      <c r="KD210" s="15"/>
      <c r="KE210" s="51"/>
      <c r="KH210" s="15"/>
      <c r="KI210" s="15"/>
    </row>
    <row r="211" spans="3:295">
      <c r="C211" s="1"/>
      <c r="AE211" s="51"/>
      <c r="AO211" s="49"/>
      <c r="AQ211" s="36"/>
      <c r="AR211" s="36"/>
      <c r="AS211" s="36"/>
      <c r="AT211" s="36"/>
      <c r="AU211" s="36"/>
      <c r="AV211" s="36"/>
      <c r="AW211" s="36"/>
      <c r="AX211" s="36"/>
      <c r="AY211" s="36"/>
      <c r="AZ211" s="36"/>
      <c r="BA211" s="36"/>
      <c r="GH211" s="55"/>
      <c r="KD211" s="15"/>
      <c r="KE211" s="51"/>
      <c r="KH211" s="15"/>
      <c r="KI211" s="15"/>
    </row>
    <row r="212" spans="3:295">
      <c r="C212" s="1"/>
      <c r="AE212" s="51"/>
      <c r="AO212" s="49"/>
      <c r="AQ212" s="36"/>
      <c r="AR212" s="36"/>
      <c r="AS212" s="36"/>
      <c r="AT212" s="36"/>
      <c r="AU212" s="36"/>
      <c r="AV212" s="36"/>
      <c r="AW212" s="36"/>
      <c r="AX212" s="36"/>
      <c r="AY212" s="36"/>
      <c r="AZ212" s="36"/>
      <c r="BA212" s="36"/>
      <c r="GH212" s="55"/>
      <c r="KD212" s="15"/>
      <c r="KE212" s="51"/>
      <c r="KH212" s="15"/>
      <c r="KI212" s="15"/>
    </row>
    <row r="213" spans="3:295">
      <c r="C213" s="1"/>
      <c r="AE213" s="51"/>
      <c r="AO213" s="49"/>
      <c r="AQ213" s="36"/>
      <c r="AR213" s="36"/>
      <c r="AS213" s="36"/>
      <c r="AT213" s="36"/>
      <c r="AU213" s="36"/>
      <c r="AV213" s="36"/>
      <c r="AW213" s="36"/>
      <c r="AX213" s="36"/>
      <c r="AY213" s="36"/>
      <c r="AZ213" s="36"/>
      <c r="BA213" s="36"/>
      <c r="GH213" s="55"/>
      <c r="KD213" s="15"/>
      <c r="KE213" s="51"/>
      <c r="KH213" s="15"/>
      <c r="KI213" s="15"/>
    </row>
    <row r="214" spans="3:295">
      <c r="C214" s="1"/>
      <c r="AE214" s="51"/>
      <c r="AO214" s="49"/>
      <c r="AQ214" s="36"/>
      <c r="AR214" s="36"/>
      <c r="AS214" s="36"/>
      <c r="AT214" s="36"/>
      <c r="AU214" s="36"/>
      <c r="AV214" s="36"/>
      <c r="AW214" s="36"/>
      <c r="AX214" s="36"/>
      <c r="AY214" s="36"/>
      <c r="AZ214" s="36"/>
      <c r="BA214" s="36"/>
      <c r="GH214" s="55"/>
      <c r="KD214" s="15"/>
      <c r="KE214" s="51"/>
      <c r="KH214" s="15"/>
      <c r="KI214" s="15"/>
    </row>
    <row r="215" spans="3:295">
      <c r="C215" s="1"/>
      <c r="AE215" s="51"/>
      <c r="AO215" s="49"/>
      <c r="AQ215" s="36"/>
      <c r="AR215" s="36"/>
      <c r="AS215" s="36"/>
      <c r="AT215" s="36"/>
      <c r="AU215" s="36"/>
      <c r="AV215" s="36"/>
      <c r="AW215" s="36"/>
      <c r="AX215" s="36"/>
      <c r="AY215" s="36"/>
      <c r="AZ215" s="36"/>
      <c r="BA215" s="36"/>
      <c r="GH215" s="55"/>
      <c r="KD215" s="15"/>
      <c r="KE215" s="51"/>
      <c r="KH215" s="15"/>
      <c r="KI215" s="15"/>
    </row>
    <row r="216" spans="3:295">
      <c r="C216" s="1"/>
      <c r="AE216" s="51"/>
      <c r="AO216" s="49"/>
      <c r="AQ216" s="36"/>
      <c r="AR216" s="36"/>
      <c r="AS216" s="36"/>
      <c r="AT216" s="36"/>
      <c r="AU216" s="36"/>
      <c r="AV216" s="36"/>
      <c r="AW216" s="36"/>
      <c r="AX216" s="36"/>
      <c r="AY216" s="36"/>
      <c r="AZ216" s="36"/>
      <c r="BA216" s="36"/>
      <c r="GH216" s="55"/>
      <c r="KD216" s="15"/>
      <c r="KE216" s="51"/>
      <c r="KH216" s="15"/>
      <c r="KI216" s="15"/>
    </row>
    <row r="217" spans="3:295">
      <c r="C217" s="1"/>
      <c r="AE217" s="51"/>
      <c r="AO217" s="49"/>
      <c r="AQ217" s="36"/>
      <c r="AR217" s="36"/>
      <c r="AS217" s="36"/>
      <c r="AT217" s="36"/>
      <c r="AU217" s="36"/>
      <c r="AV217" s="36"/>
      <c r="AW217" s="36"/>
      <c r="AX217" s="36"/>
      <c r="AY217" s="36"/>
      <c r="AZ217" s="36"/>
      <c r="BA217" s="36"/>
      <c r="GH217" s="55"/>
      <c r="KD217" s="15"/>
      <c r="KE217" s="51"/>
      <c r="KH217" s="15"/>
      <c r="KI217" s="15"/>
    </row>
    <row r="218" spans="3:295">
      <c r="C218" s="1"/>
      <c r="AE218" s="51"/>
      <c r="AO218" s="49"/>
      <c r="AQ218" s="36"/>
      <c r="AR218" s="36"/>
      <c r="AS218" s="36"/>
      <c r="AT218" s="36"/>
      <c r="AU218" s="36"/>
      <c r="AV218" s="36"/>
      <c r="AW218" s="36"/>
      <c r="AX218" s="36"/>
      <c r="AY218" s="36"/>
      <c r="AZ218" s="36"/>
      <c r="BA218" s="36"/>
      <c r="GH218" s="55"/>
      <c r="KD218" s="15"/>
      <c r="KE218" s="51"/>
      <c r="KH218" s="15"/>
      <c r="KI218" s="15"/>
    </row>
    <row r="219" spans="3:295">
      <c r="C219" s="1"/>
      <c r="AE219" s="51"/>
      <c r="AO219" s="49"/>
      <c r="AQ219" s="36"/>
      <c r="AR219" s="36"/>
      <c r="AS219" s="36"/>
      <c r="AT219" s="36"/>
      <c r="AU219" s="36"/>
      <c r="AV219" s="36"/>
      <c r="AW219" s="36"/>
      <c r="AX219" s="36"/>
      <c r="AY219" s="36"/>
      <c r="AZ219" s="36"/>
      <c r="BA219" s="36"/>
      <c r="GH219" s="55"/>
      <c r="KD219" s="15"/>
      <c r="KE219" s="51"/>
      <c r="KH219" s="15"/>
      <c r="KI219" s="15"/>
    </row>
    <row r="220" spans="3:295">
      <c r="C220" s="1"/>
      <c r="AE220" s="51"/>
      <c r="AO220" s="49"/>
      <c r="AQ220" s="36"/>
      <c r="AR220" s="36"/>
      <c r="AS220" s="36"/>
      <c r="AT220" s="36"/>
      <c r="AU220" s="36"/>
      <c r="AV220" s="36"/>
      <c r="AW220" s="36"/>
      <c r="AX220" s="36"/>
      <c r="AY220" s="36"/>
      <c r="AZ220" s="36"/>
      <c r="BA220" s="36"/>
      <c r="GH220" s="55"/>
      <c r="KD220" s="15"/>
      <c r="KE220" s="51"/>
      <c r="KH220" s="15"/>
      <c r="KI220" s="15"/>
    </row>
    <row r="221" spans="3:295">
      <c r="C221" s="1"/>
      <c r="AE221" s="51"/>
      <c r="AO221" s="49"/>
      <c r="AQ221" s="36"/>
      <c r="AR221" s="36"/>
      <c r="AS221" s="36"/>
      <c r="AT221" s="36"/>
      <c r="AU221" s="36"/>
      <c r="AV221" s="36"/>
      <c r="AW221" s="36"/>
      <c r="AX221" s="36"/>
      <c r="AY221" s="36"/>
      <c r="AZ221" s="36"/>
      <c r="BA221" s="36"/>
      <c r="GH221" s="55"/>
      <c r="KD221" s="15"/>
      <c r="KE221" s="51"/>
      <c r="KH221" s="15"/>
      <c r="KI221" s="15"/>
    </row>
    <row r="222" spans="3:295">
      <c r="C222" s="1"/>
      <c r="AE222" s="51"/>
      <c r="AO222" s="49"/>
      <c r="AQ222" s="36"/>
      <c r="AR222" s="36"/>
      <c r="AS222" s="36"/>
      <c r="AT222" s="36"/>
      <c r="AU222" s="36"/>
      <c r="AV222" s="36"/>
      <c r="AW222" s="36"/>
      <c r="AX222" s="36"/>
      <c r="AY222" s="36"/>
      <c r="AZ222" s="36"/>
      <c r="BA222" s="36"/>
      <c r="GH222" s="55"/>
      <c r="KD222" s="15"/>
      <c r="KE222" s="51"/>
      <c r="KH222" s="15"/>
      <c r="KI222" s="15"/>
    </row>
    <row r="223" spans="3:295">
      <c r="C223" s="1"/>
      <c r="AE223" s="51"/>
      <c r="AO223" s="49"/>
      <c r="AQ223" s="36"/>
      <c r="AR223" s="36"/>
      <c r="AS223" s="36"/>
      <c r="AT223" s="36"/>
      <c r="AU223" s="36"/>
      <c r="AV223" s="36"/>
      <c r="AW223" s="36"/>
      <c r="AX223" s="36"/>
      <c r="AY223" s="36"/>
      <c r="AZ223" s="36"/>
      <c r="BA223" s="36"/>
      <c r="GH223" s="55"/>
      <c r="KD223" s="15"/>
      <c r="KE223" s="51"/>
      <c r="KH223" s="15"/>
      <c r="KI223" s="15"/>
    </row>
    <row r="224" spans="3:295">
      <c r="C224" s="1"/>
      <c r="AE224" s="51"/>
      <c r="AO224" s="49"/>
      <c r="AQ224" s="36"/>
      <c r="AR224" s="36"/>
      <c r="AS224" s="36"/>
      <c r="AT224" s="36"/>
      <c r="AU224" s="36"/>
      <c r="AV224" s="36"/>
      <c r="AW224" s="36"/>
      <c r="AX224" s="36"/>
      <c r="AY224" s="36"/>
      <c r="AZ224" s="36"/>
      <c r="BA224" s="36"/>
      <c r="GH224" s="55"/>
      <c r="KD224" s="15"/>
      <c r="KE224" s="51"/>
      <c r="KH224" s="15"/>
      <c r="KI224" s="15"/>
    </row>
    <row r="225" spans="3:295">
      <c r="C225" s="1"/>
      <c r="AE225" s="51"/>
      <c r="AO225" s="49"/>
      <c r="AQ225" s="36"/>
      <c r="AR225" s="36"/>
      <c r="AS225" s="36"/>
      <c r="AT225" s="36"/>
      <c r="AU225" s="36"/>
      <c r="AV225" s="36"/>
      <c r="AW225" s="36"/>
      <c r="AX225" s="36"/>
      <c r="AY225" s="36"/>
      <c r="AZ225" s="36"/>
      <c r="BA225" s="36"/>
      <c r="GH225" s="55"/>
      <c r="KD225" s="15"/>
      <c r="KE225" s="51"/>
      <c r="KH225" s="15"/>
      <c r="KI225" s="15"/>
    </row>
    <row r="226" spans="3:295">
      <c r="C226" s="1"/>
      <c r="AE226" s="51"/>
      <c r="AO226" s="49"/>
      <c r="AQ226" s="36"/>
      <c r="AR226" s="36"/>
      <c r="AS226" s="36"/>
      <c r="AT226" s="36"/>
      <c r="AU226" s="36"/>
      <c r="AV226" s="36"/>
      <c r="AW226" s="36"/>
      <c r="AX226" s="36"/>
      <c r="AY226" s="36"/>
      <c r="AZ226" s="36"/>
      <c r="BA226" s="36"/>
      <c r="GH226" s="55"/>
      <c r="KD226" s="15"/>
      <c r="KE226" s="51"/>
      <c r="KH226" s="15"/>
      <c r="KI226" s="15"/>
    </row>
    <row r="227" spans="3:295">
      <c r="C227" s="1"/>
      <c r="AE227" s="51"/>
      <c r="AO227" s="49"/>
      <c r="AQ227" s="36"/>
      <c r="AR227" s="36"/>
      <c r="AS227" s="36"/>
      <c r="AT227" s="36"/>
      <c r="AU227" s="36"/>
      <c r="AV227" s="36"/>
      <c r="AW227" s="36"/>
      <c r="AX227" s="36"/>
      <c r="AY227" s="36"/>
      <c r="AZ227" s="36"/>
      <c r="BA227" s="36"/>
      <c r="GH227" s="55"/>
      <c r="KD227" s="15"/>
      <c r="KE227" s="51"/>
      <c r="KH227" s="15"/>
      <c r="KI227" s="15"/>
    </row>
    <row r="228" spans="3:295">
      <c r="C228" s="1"/>
      <c r="AE228" s="51"/>
      <c r="AO228" s="49"/>
      <c r="AQ228" s="36"/>
      <c r="AR228" s="36"/>
      <c r="AS228" s="36"/>
      <c r="AT228" s="36"/>
      <c r="AU228" s="36"/>
      <c r="AV228" s="36"/>
      <c r="AW228" s="36"/>
      <c r="AX228" s="36"/>
      <c r="AY228" s="36"/>
      <c r="AZ228" s="36"/>
      <c r="BA228" s="36"/>
      <c r="GH228" s="55"/>
      <c r="KD228" s="15"/>
      <c r="KE228" s="51"/>
      <c r="KH228" s="15"/>
      <c r="KI228" s="15"/>
    </row>
    <row r="229" spans="3:295">
      <c r="C229" s="1"/>
      <c r="AE229" s="51"/>
      <c r="AO229" s="49"/>
      <c r="AQ229" s="36"/>
      <c r="AR229" s="36"/>
      <c r="AS229" s="36"/>
      <c r="AT229" s="36"/>
      <c r="AU229" s="36"/>
      <c r="AV229" s="36"/>
      <c r="AW229" s="36"/>
      <c r="AX229" s="36"/>
      <c r="AY229" s="36"/>
      <c r="AZ229" s="36"/>
      <c r="BA229" s="36"/>
      <c r="GH229" s="55"/>
      <c r="KD229" s="15"/>
      <c r="KE229" s="51"/>
      <c r="KH229" s="15"/>
      <c r="KI229" s="15"/>
    </row>
    <row r="230" spans="3:295">
      <c r="C230" s="1"/>
      <c r="AE230" s="51"/>
      <c r="AO230" s="49"/>
      <c r="AQ230" s="36"/>
      <c r="AR230" s="36"/>
      <c r="AS230" s="36"/>
      <c r="AT230" s="36"/>
      <c r="AU230" s="36"/>
      <c r="AV230" s="36"/>
      <c r="AW230" s="36"/>
      <c r="AX230" s="36"/>
      <c r="AY230" s="36"/>
      <c r="AZ230" s="36"/>
      <c r="BA230" s="36"/>
      <c r="GH230" s="55"/>
      <c r="KD230" s="15"/>
      <c r="KE230" s="51"/>
      <c r="KH230" s="15"/>
      <c r="KI230" s="15"/>
    </row>
    <row r="231" spans="3:295">
      <c r="C231" s="1"/>
      <c r="AE231" s="51"/>
      <c r="AO231" s="49"/>
      <c r="AQ231" s="36"/>
      <c r="AR231" s="36"/>
      <c r="AS231" s="36"/>
      <c r="AT231" s="36"/>
      <c r="AU231" s="36"/>
      <c r="AV231" s="36"/>
      <c r="AW231" s="36"/>
      <c r="AX231" s="36"/>
      <c r="AY231" s="36"/>
      <c r="AZ231" s="36"/>
      <c r="BA231" s="36"/>
      <c r="GH231" s="55"/>
      <c r="KD231" s="15"/>
      <c r="KE231" s="51"/>
      <c r="KH231" s="15"/>
      <c r="KI231" s="15"/>
    </row>
    <row r="232" spans="3:295">
      <c r="C232" s="1"/>
      <c r="AE232" s="51"/>
      <c r="AO232" s="49"/>
      <c r="AQ232" s="36"/>
      <c r="AR232" s="36"/>
      <c r="AS232" s="36"/>
      <c r="AT232" s="36"/>
      <c r="AU232" s="36"/>
      <c r="AV232" s="36"/>
      <c r="AW232" s="36"/>
      <c r="AX232" s="36"/>
      <c r="AY232" s="36"/>
      <c r="AZ232" s="36"/>
      <c r="BA232" s="36"/>
      <c r="GH232" s="55"/>
      <c r="KD232" s="15"/>
      <c r="KE232" s="51"/>
      <c r="KH232" s="15"/>
      <c r="KI232" s="15"/>
    </row>
    <row r="233" spans="3:295">
      <c r="C233" s="1"/>
      <c r="AE233" s="51"/>
      <c r="AO233" s="49"/>
      <c r="AQ233" s="36"/>
      <c r="AR233" s="36"/>
      <c r="AS233" s="36"/>
      <c r="AT233" s="36"/>
      <c r="AU233" s="36"/>
      <c r="AV233" s="36"/>
      <c r="AW233" s="36"/>
      <c r="AX233" s="36"/>
      <c r="AY233" s="36"/>
      <c r="AZ233" s="36"/>
      <c r="BA233" s="36"/>
      <c r="GH233" s="55"/>
      <c r="KD233" s="15"/>
      <c r="KE233" s="51"/>
      <c r="KH233" s="15"/>
      <c r="KI233" s="15"/>
    </row>
    <row r="234" spans="3:295">
      <c r="C234" s="1"/>
      <c r="AE234" s="51"/>
      <c r="AO234" s="49"/>
      <c r="AQ234" s="36"/>
      <c r="AR234" s="36"/>
      <c r="AS234" s="36"/>
      <c r="AT234" s="36"/>
      <c r="AU234" s="36"/>
      <c r="AV234" s="36"/>
      <c r="AW234" s="36"/>
      <c r="AX234" s="36"/>
      <c r="AY234" s="36"/>
      <c r="AZ234" s="36"/>
      <c r="BA234" s="36"/>
      <c r="GH234" s="55"/>
      <c r="KD234" s="15"/>
      <c r="KE234" s="51"/>
      <c r="KH234" s="15"/>
      <c r="KI234" s="15"/>
    </row>
    <row r="235" spans="3:295">
      <c r="C235" s="1"/>
      <c r="AE235" s="51"/>
      <c r="AO235" s="49"/>
      <c r="AQ235" s="36"/>
      <c r="AR235" s="36"/>
      <c r="AS235" s="36"/>
      <c r="AT235" s="36"/>
      <c r="AU235" s="36"/>
      <c r="AV235" s="36"/>
      <c r="AW235" s="36"/>
      <c r="AX235" s="36"/>
      <c r="AY235" s="36"/>
      <c r="AZ235" s="36"/>
      <c r="BA235" s="36"/>
      <c r="GH235" s="55"/>
      <c r="KD235" s="15"/>
      <c r="KE235" s="51"/>
      <c r="KH235" s="15"/>
      <c r="KI235" s="15"/>
    </row>
    <row r="236" spans="3:295">
      <c r="C236" s="1"/>
      <c r="AE236" s="51"/>
      <c r="AO236" s="49"/>
      <c r="AQ236" s="36"/>
      <c r="AR236" s="36"/>
      <c r="AS236" s="36"/>
      <c r="AT236" s="36"/>
      <c r="AU236" s="36"/>
      <c r="AV236" s="36"/>
      <c r="AW236" s="36"/>
      <c r="AX236" s="36"/>
      <c r="AY236" s="36"/>
      <c r="AZ236" s="36"/>
      <c r="BA236" s="36"/>
      <c r="GH236" s="55"/>
      <c r="KD236" s="15"/>
      <c r="KE236" s="51"/>
      <c r="KH236" s="15"/>
      <c r="KI236" s="15"/>
    </row>
    <row r="237" spans="3:295">
      <c r="C237" s="1"/>
      <c r="AE237" s="51"/>
      <c r="AO237" s="49"/>
      <c r="AQ237" s="36"/>
      <c r="AR237" s="36"/>
      <c r="AS237" s="36"/>
      <c r="AT237" s="36"/>
      <c r="AU237" s="36"/>
      <c r="AV237" s="36"/>
      <c r="AW237" s="36"/>
      <c r="AX237" s="36"/>
      <c r="AY237" s="36"/>
      <c r="AZ237" s="36"/>
      <c r="BA237" s="36"/>
      <c r="GH237" s="55"/>
      <c r="KD237" s="15"/>
      <c r="KE237" s="51"/>
      <c r="KH237" s="15"/>
      <c r="KI237" s="15"/>
    </row>
    <row r="238" spans="3:295">
      <c r="C238" s="1"/>
      <c r="AE238" s="51"/>
      <c r="AO238" s="49"/>
      <c r="AQ238" s="36"/>
      <c r="AR238" s="36"/>
      <c r="AS238" s="36"/>
      <c r="AT238" s="36"/>
      <c r="AU238" s="36"/>
      <c r="AV238" s="36"/>
      <c r="AW238" s="36"/>
      <c r="AX238" s="36"/>
      <c r="AY238" s="36"/>
      <c r="AZ238" s="36"/>
      <c r="BA238" s="36"/>
      <c r="GH238" s="55"/>
      <c r="KD238" s="15"/>
      <c r="KE238" s="51"/>
      <c r="KH238" s="15"/>
      <c r="KI238" s="15"/>
    </row>
    <row r="239" spans="3:295">
      <c r="C239" s="1"/>
      <c r="AE239" s="51"/>
      <c r="AO239" s="49"/>
      <c r="AQ239" s="36"/>
      <c r="AR239" s="36"/>
      <c r="AS239" s="36"/>
      <c r="AT239" s="36"/>
      <c r="AU239" s="36"/>
      <c r="AV239" s="36"/>
      <c r="AW239" s="36"/>
      <c r="AX239" s="36"/>
      <c r="AY239" s="36"/>
      <c r="AZ239" s="36"/>
      <c r="BA239" s="36"/>
      <c r="GH239" s="55"/>
      <c r="KD239" s="15"/>
      <c r="KE239" s="51"/>
      <c r="KH239" s="15"/>
      <c r="KI239" s="15"/>
    </row>
    <row r="240" spans="3:295">
      <c r="C240" s="1"/>
      <c r="AE240" s="51"/>
      <c r="AO240" s="49"/>
      <c r="AQ240" s="36"/>
      <c r="AR240" s="36"/>
      <c r="AS240" s="36"/>
      <c r="AT240" s="36"/>
      <c r="AU240" s="36"/>
      <c r="AV240" s="36"/>
      <c r="AW240" s="36"/>
      <c r="AX240" s="36"/>
      <c r="AY240" s="36"/>
      <c r="AZ240" s="36"/>
      <c r="BA240" s="36"/>
      <c r="GH240" s="55"/>
      <c r="KD240" s="15"/>
      <c r="KE240" s="51"/>
      <c r="KH240" s="15"/>
      <c r="KI240" s="15"/>
    </row>
    <row r="241" spans="3:295">
      <c r="C241" s="1"/>
      <c r="AE241" s="51"/>
      <c r="AO241" s="49"/>
      <c r="AQ241" s="36"/>
      <c r="AR241" s="36"/>
      <c r="AS241" s="36"/>
      <c r="AT241" s="36"/>
      <c r="AU241" s="36"/>
      <c r="AV241" s="36"/>
      <c r="AW241" s="36"/>
      <c r="AX241" s="36"/>
      <c r="AY241" s="36"/>
      <c r="AZ241" s="36"/>
      <c r="BA241" s="36"/>
      <c r="GH241" s="55"/>
      <c r="KD241" s="15"/>
      <c r="KE241" s="51"/>
      <c r="KH241" s="15"/>
      <c r="KI241" s="15"/>
    </row>
    <row r="242" spans="3:295">
      <c r="C242" s="1"/>
      <c r="AE242" s="51"/>
      <c r="AO242" s="49"/>
      <c r="AQ242" s="36"/>
      <c r="AR242" s="36"/>
      <c r="AS242" s="36"/>
      <c r="AT242" s="36"/>
      <c r="AU242" s="36"/>
      <c r="AV242" s="36"/>
      <c r="AW242" s="36"/>
      <c r="AX242" s="36"/>
      <c r="AY242" s="36"/>
      <c r="AZ242" s="36"/>
      <c r="BA242" s="36"/>
      <c r="GH242" s="55"/>
      <c r="KD242" s="15"/>
      <c r="KE242" s="51"/>
      <c r="KH242" s="15"/>
      <c r="KI242" s="15"/>
    </row>
    <row r="243" spans="3:295">
      <c r="C243" s="1"/>
      <c r="AE243" s="51"/>
      <c r="AO243" s="49"/>
      <c r="AQ243" s="36"/>
      <c r="AR243" s="36"/>
      <c r="AS243" s="36"/>
      <c r="AT243" s="36"/>
      <c r="AU243" s="36"/>
      <c r="AV243" s="36"/>
      <c r="AW243" s="36"/>
      <c r="AX243" s="36"/>
      <c r="AY243" s="36"/>
      <c r="AZ243" s="36"/>
      <c r="BA243" s="36"/>
      <c r="GH243" s="55"/>
      <c r="KD243" s="15"/>
      <c r="KE243" s="51"/>
      <c r="KH243" s="15"/>
      <c r="KI243" s="15"/>
    </row>
    <row r="244" spans="3:295">
      <c r="C244" s="1"/>
      <c r="AE244" s="51"/>
      <c r="AO244" s="49"/>
      <c r="AQ244" s="36"/>
      <c r="AR244" s="36"/>
      <c r="AS244" s="36"/>
      <c r="AT244" s="36"/>
      <c r="AU244" s="36"/>
      <c r="AV244" s="36"/>
      <c r="AW244" s="36"/>
      <c r="AX244" s="36"/>
      <c r="AY244" s="36"/>
      <c r="AZ244" s="36"/>
      <c r="BA244" s="36"/>
      <c r="GH244" s="55"/>
      <c r="KD244" s="15"/>
      <c r="KE244" s="51"/>
      <c r="KH244" s="15"/>
      <c r="KI244" s="15"/>
    </row>
    <row r="245" spans="3:295">
      <c r="C245" s="1"/>
      <c r="AE245" s="51"/>
      <c r="AO245" s="49"/>
      <c r="AQ245" s="36"/>
      <c r="AR245" s="36"/>
      <c r="AS245" s="36"/>
      <c r="AT245" s="36"/>
      <c r="AU245" s="36"/>
      <c r="AV245" s="36"/>
      <c r="AW245" s="36"/>
      <c r="AX245" s="36"/>
      <c r="AY245" s="36"/>
      <c r="AZ245" s="36"/>
      <c r="BA245" s="36"/>
      <c r="GH245" s="55"/>
      <c r="KD245" s="15"/>
      <c r="KE245" s="51"/>
      <c r="KH245" s="15"/>
      <c r="KI245" s="15"/>
    </row>
    <row r="246" spans="3:295">
      <c r="C246" s="1"/>
      <c r="AE246" s="51"/>
      <c r="AO246" s="49"/>
      <c r="AQ246" s="36"/>
      <c r="AR246" s="36"/>
      <c r="AS246" s="36"/>
      <c r="AT246" s="36"/>
      <c r="AU246" s="36"/>
      <c r="AV246" s="36"/>
      <c r="AW246" s="36"/>
      <c r="AX246" s="36"/>
      <c r="AY246" s="36"/>
      <c r="AZ246" s="36"/>
      <c r="BA246" s="36"/>
      <c r="GH246" s="55"/>
      <c r="KD246" s="15"/>
      <c r="KE246" s="51"/>
      <c r="KH246" s="15"/>
      <c r="KI246" s="15"/>
    </row>
    <row r="247" spans="3:295">
      <c r="C247" s="1"/>
      <c r="AE247" s="51"/>
      <c r="AO247" s="49"/>
      <c r="AQ247" s="36"/>
      <c r="AR247" s="36"/>
      <c r="AS247" s="36"/>
      <c r="AT247" s="36"/>
      <c r="AU247" s="36"/>
      <c r="AV247" s="36"/>
      <c r="AW247" s="36"/>
      <c r="AX247" s="36"/>
      <c r="AY247" s="36"/>
      <c r="AZ247" s="36"/>
      <c r="BA247" s="36"/>
      <c r="GH247" s="55"/>
      <c r="KD247" s="15"/>
      <c r="KE247" s="51"/>
      <c r="KH247" s="15"/>
      <c r="KI247" s="15"/>
    </row>
    <row r="248" spans="3:295">
      <c r="C248" s="1"/>
      <c r="AE248" s="51"/>
      <c r="AO248" s="49"/>
      <c r="AQ248" s="36"/>
      <c r="AR248" s="36"/>
      <c r="AS248" s="36"/>
      <c r="AT248" s="36"/>
      <c r="AU248" s="36"/>
      <c r="AV248" s="36"/>
      <c r="AW248" s="36"/>
      <c r="AX248" s="36"/>
      <c r="AY248" s="36"/>
      <c r="AZ248" s="36"/>
      <c r="BA248" s="36"/>
      <c r="GH248" s="55"/>
      <c r="KD248" s="15"/>
      <c r="KE248" s="51"/>
      <c r="KH248" s="15"/>
      <c r="KI248" s="15"/>
    </row>
    <row r="249" spans="3:295">
      <c r="C249" s="1"/>
      <c r="AE249" s="51"/>
      <c r="AO249" s="49"/>
      <c r="AQ249" s="36"/>
      <c r="AR249" s="36"/>
      <c r="AS249" s="36"/>
      <c r="AT249" s="36"/>
      <c r="AU249" s="36"/>
      <c r="AV249" s="36"/>
      <c r="AW249" s="36"/>
      <c r="AX249" s="36"/>
      <c r="AY249" s="36"/>
      <c r="AZ249" s="36"/>
      <c r="BA249" s="36"/>
      <c r="GH249" s="55"/>
      <c r="KD249" s="15"/>
      <c r="KE249" s="51"/>
      <c r="KH249" s="15"/>
      <c r="KI249" s="15"/>
    </row>
    <row r="250" spans="3:295">
      <c r="C250" s="1"/>
      <c r="AE250" s="51"/>
      <c r="AO250" s="49"/>
      <c r="AQ250" s="36"/>
      <c r="AR250" s="36"/>
      <c r="AS250" s="36"/>
      <c r="AT250" s="36"/>
      <c r="AU250" s="36"/>
      <c r="AV250" s="36"/>
      <c r="AW250" s="36"/>
      <c r="AX250" s="36"/>
      <c r="AY250" s="36"/>
      <c r="AZ250" s="36"/>
      <c r="BA250" s="36"/>
      <c r="GH250" s="55"/>
      <c r="KD250" s="15"/>
      <c r="KE250" s="51"/>
      <c r="KH250" s="15"/>
      <c r="KI250" s="15"/>
    </row>
    <row r="251" spans="3:295">
      <c r="C251" s="1"/>
      <c r="AE251" s="51"/>
      <c r="AO251" s="49"/>
      <c r="AQ251" s="36"/>
      <c r="AR251" s="36"/>
      <c r="AS251" s="36"/>
      <c r="AT251" s="36"/>
      <c r="AU251" s="36"/>
      <c r="AV251" s="36"/>
      <c r="AW251" s="36"/>
      <c r="AX251" s="36"/>
      <c r="AY251" s="36"/>
      <c r="AZ251" s="36"/>
      <c r="BA251" s="36"/>
      <c r="GH251" s="55"/>
      <c r="KD251" s="15"/>
      <c r="KE251" s="51"/>
      <c r="KH251" s="15"/>
      <c r="KI251" s="15"/>
    </row>
    <row r="252" spans="3:295">
      <c r="C252" s="1"/>
      <c r="AE252" s="51"/>
      <c r="AO252" s="49"/>
      <c r="AQ252" s="36"/>
      <c r="AR252" s="36"/>
      <c r="AS252" s="36"/>
      <c r="AT252" s="36"/>
      <c r="AU252" s="36"/>
      <c r="AV252" s="36"/>
      <c r="AW252" s="36"/>
      <c r="AX252" s="36"/>
      <c r="AY252" s="36"/>
      <c r="AZ252" s="36"/>
      <c r="BA252" s="36"/>
      <c r="GH252" s="55"/>
      <c r="KD252" s="15"/>
      <c r="KE252" s="51"/>
      <c r="KH252" s="15"/>
      <c r="KI252" s="15"/>
    </row>
    <row r="253" spans="3:295">
      <c r="C253" s="1"/>
      <c r="AE253" s="51"/>
      <c r="AO253" s="49"/>
      <c r="AQ253" s="36"/>
      <c r="AR253" s="36"/>
      <c r="AS253" s="36"/>
      <c r="AT253" s="36"/>
      <c r="AU253" s="36"/>
      <c r="AV253" s="36"/>
      <c r="AW253" s="36"/>
      <c r="AX253" s="36"/>
      <c r="AY253" s="36"/>
      <c r="AZ253" s="36"/>
      <c r="BA253" s="36"/>
      <c r="GH253" s="55"/>
      <c r="KD253" s="15"/>
      <c r="KE253" s="51"/>
      <c r="KH253" s="15"/>
      <c r="KI253" s="15"/>
    </row>
    <row r="254" spans="3:295">
      <c r="C254" s="1"/>
      <c r="AE254" s="51"/>
      <c r="AO254" s="49"/>
      <c r="AQ254" s="36"/>
      <c r="AR254" s="36"/>
      <c r="AS254" s="36"/>
      <c r="AT254" s="36"/>
      <c r="AU254" s="36"/>
      <c r="AV254" s="36"/>
      <c r="AW254" s="36"/>
      <c r="AX254" s="36"/>
      <c r="AY254" s="36"/>
      <c r="AZ254" s="36"/>
      <c r="BA254" s="36"/>
      <c r="GH254" s="55"/>
      <c r="KD254" s="15"/>
      <c r="KE254" s="51"/>
      <c r="KH254" s="15"/>
      <c r="KI254" s="15"/>
    </row>
    <row r="255" spans="3:295">
      <c r="C255" s="1"/>
      <c r="AE255" s="51"/>
      <c r="AO255" s="49"/>
      <c r="AQ255" s="36"/>
      <c r="AR255" s="36"/>
      <c r="AS255" s="36"/>
      <c r="AT255" s="36"/>
      <c r="AU255" s="36"/>
      <c r="AV255" s="36"/>
      <c r="AW255" s="36"/>
      <c r="AX255" s="36"/>
      <c r="AY255" s="36"/>
      <c r="AZ255" s="36"/>
      <c r="BA255" s="36"/>
      <c r="GH255" s="55"/>
      <c r="KD255" s="15"/>
      <c r="KE255" s="51"/>
      <c r="KH255" s="15"/>
      <c r="KI255" s="15"/>
    </row>
    <row r="256" spans="3:295">
      <c r="C256" s="1"/>
      <c r="AE256" s="51"/>
      <c r="AO256" s="49"/>
      <c r="AQ256" s="36"/>
      <c r="AR256" s="36"/>
      <c r="AS256" s="36"/>
      <c r="AT256" s="36"/>
      <c r="AU256" s="36"/>
      <c r="AV256" s="36"/>
      <c r="AW256" s="36"/>
      <c r="AX256" s="36"/>
      <c r="AY256" s="36"/>
      <c r="AZ256" s="36"/>
      <c r="BA256" s="36"/>
      <c r="GH256" s="55"/>
      <c r="KD256" s="15"/>
      <c r="KE256" s="51"/>
      <c r="KH256" s="15"/>
      <c r="KI256" s="15"/>
    </row>
    <row r="257" spans="3:295">
      <c r="C257" s="1"/>
      <c r="AE257" s="51"/>
      <c r="AO257" s="49"/>
      <c r="AQ257" s="36"/>
      <c r="AR257" s="36"/>
      <c r="AS257" s="36"/>
      <c r="AT257" s="36"/>
      <c r="AU257" s="36"/>
      <c r="AV257" s="36"/>
      <c r="AW257" s="36"/>
      <c r="AX257" s="36"/>
      <c r="AY257" s="36"/>
      <c r="AZ257" s="36"/>
      <c r="BA257" s="36"/>
      <c r="GH257" s="55"/>
      <c r="KD257" s="15"/>
      <c r="KE257" s="51"/>
      <c r="KH257" s="15"/>
      <c r="KI257" s="15"/>
    </row>
    <row r="258" spans="3:295">
      <c r="C258" s="1"/>
      <c r="AE258" s="51"/>
      <c r="AO258" s="49"/>
      <c r="AQ258" s="36"/>
      <c r="AR258" s="36"/>
      <c r="AS258" s="36"/>
      <c r="AT258" s="36"/>
      <c r="AU258" s="36"/>
      <c r="AV258" s="36"/>
      <c r="AW258" s="36"/>
      <c r="AX258" s="36"/>
      <c r="AY258" s="36"/>
      <c r="AZ258" s="36"/>
      <c r="BA258" s="36"/>
      <c r="GH258" s="55"/>
      <c r="KD258" s="15"/>
      <c r="KE258" s="51"/>
      <c r="KH258" s="15"/>
      <c r="KI258" s="15"/>
    </row>
    <row r="259" spans="3:295">
      <c r="C259" s="1"/>
      <c r="AE259" s="51"/>
      <c r="AO259" s="49"/>
      <c r="AQ259" s="36"/>
      <c r="AR259" s="36"/>
      <c r="AS259" s="36"/>
      <c r="AT259" s="36"/>
      <c r="AU259" s="36"/>
      <c r="AV259" s="36"/>
      <c r="AW259" s="36"/>
      <c r="AX259" s="36"/>
      <c r="AY259" s="36"/>
      <c r="AZ259" s="36"/>
      <c r="BA259" s="36"/>
      <c r="GH259" s="55"/>
      <c r="KD259" s="15"/>
      <c r="KE259" s="51"/>
      <c r="KH259" s="15"/>
      <c r="KI259" s="15"/>
    </row>
    <row r="260" spans="3:295">
      <c r="C260" s="1"/>
      <c r="AE260" s="51"/>
      <c r="AO260" s="49"/>
      <c r="AQ260" s="36"/>
      <c r="AR260" s="36"/>
      <c r="AS260" s="36"/>
      <c r="AT260" s="36"/>
      <c r="AU260" s="36"/>
      <c r="AV260" s="36"/>
      <c r="AW260" s="36"/>
      <c r="AX260" s="36"/>
      <c r="AY260" s="36"/>
      <c r="AZ260" s="36"/>
      <c r="BA260" s="36"/>
      <c r="GH260" s="55"/>
      <c r="KD260" s="15"/>
      <c r="KE260" s="51"/>
      <c r="KH260" s="15"/>
      <c r="KI260" s="15"/>
    </row>
    <row r="261" spans="3:295">
      <c r="C261" s="1"/>
      <c r="AE261" s="51"/>
      <c r="AO261" s="49"/>
      <c r="AQ261" s="36"/>
      <c r="AR261" s="36"/>
      <c r="AS261" s="36"/>
      <c r="AT261" s="36"/>
      <c r="AU261" s="36"/>
      <c r="AV261" s="36"/>
      <c r="AW261" s="36"/>
      <c r="AX261" s="36"/>
      <c r="AY261" s="36"/>
      <c r="AZ261" s="36"/>
      <c r="BA261" s="36"/>
      <c r="GH261" s="55"/>
      <c r="KD261" s="15"/>
      <c r="KE261" s="51"/>
      <c r="KH261" s="15"/>
      <c r="KI261" s="15"/>
    </row>
    <row r="262" spans="3:295">
      <c r="C262" s="1"/>
      <c r="AE262" s="51"/>
      <c r="AO262" s="49"/>
      <c r="AQ262" s="36"/>
      <c r="AR262" s="36"/>
      <c r="AS262" s="36"/>
      <c r="AT262" s="36"/>
      <c r="AU262" s="36"/>
      <c r="AV262" s="36"/>
      <c r="AW262" s="36"/>
      <c r="AX262" s="36"/>
      <c r="AY262" s="36"/>
      <c r="AZ262" s="36"/>
      <c r="BA262" s="36"/>
      <c r="GH262" s="55"/>
      <c r="KD262" s="15"/>
      <c r="KE262" s="51"/>
      <c r="KH262" s="15"/>
      <c r="KI262" s="15"/>
    </row>
    <row r="263" spans="3:295">
      <c r="C263" s="1"/>
      <c r="AE263" s="51"/>
      <c r="AO263" s="49"/>
      <c r="AQ263" s="36"/>
      <c r="AR263" s="36"/>
      <c r="AS263" s="36"/>
      <c r="AT263" s="36"/>
      <c r="AU263" s="36"/>
      <c r="AV263" s="36"/>
      <c r="AW263" s="36"/>
      <c r="AX263" s="36"/>
      <c r="AY263" s="36"/>
      <c r="AZ263" s="36"/>
      <c r="BA263" s="36"/>
      <c r="GH263" s="55"/>
      <c r="KD263" s="15"/>
      <c r="KE263" s="51"/>
      <c r="KH263" s="15"/>
      <c r="KI263" s="15"/>
    </row>
    <row r="264" spans="3:295">
      <c r="C264" s="1"/>
      <c r="AE264" s="51"/>
      <c r="AO264" s="49"/>
      <c r="AQ264" s="36"/>
      <c r="AR264" s="36"/>
      <c r="AS264" s="36"/>
      <c r="AT264" s="36"/>
      <c r="AU264" s="36"/>
      <c r="AV264" s="36"/>
      <c r="AW264" s="36"/>
      <c r="AX264" s="36"/>
      <c r="AY264" s="36"/>
      <c r="AZ264" s="36"/>
      <c r="BA264" s="36"/>
      <c r="GH264" s="55"/>
      <c r="KD264" s="15"/>
      <c r="KE264" s="51"/>
      <c r="KH264" s="15"/>
      <c r="KI264" s="15"/>
    </row>
    <row r="265" spans="3:295">
      <c r="C265" s="1"/>
      <c r="AE265" s="51"/>
      <c r="AO265" s="49"/>
      <c r="AQ265" s="36"/>
      <c r="AR265" s="36"/>
      <c r="AS265" s="36"/>
      <c r="AT265" s="36"/>
      <c r="AU265" s="36"/>
      <c r="AV265" s="36"/>
      <c r="AW265" s="36"/>
      <c r="AX265" s="36"/>
      <c r="AY265" s="36"/>
      <c r="AZ265" s="36"/>
      <c r="BA265" s="36"/>
      <c r="GH265" s="55"/>
      <c r="KD265" s="15"/>
      <c r="KE265" s="51"/>
      <c r="KH265" s="15"/>
      <c r="KI265" s="15"/>
    </row>
    <row r="266" spans="3:295">
      <c r="C266" s="1"/>
      <c r="AE266" s="51"/>
      <c r="AO266" s="49"/>
      <c r="AQ266" s="36"/>
      <c r="AR266" s="36"/>
      <c r="AS266" s="36"/>
      <c r="AT266" s="36"/>
      <c r="AU266" s="36"/>
      <c r="AV266" s="36"/>
      <c r="AW266" s="36"/>
      <c r="AX266" s="36"/>
      <c r="AY266" s="36"/>
      <c r="AZ266" s="36"/>
      <c r="BA266" s="36"/>
      <c r="GH266" s="55"/>
      <c r="KD266" s="15"/>
      <c r="KE266" s="51"/>
      <c r="KH266" s="15"/>
      <c r="KI266" s="15"/>
    </row>
    <row r="267" spans="3:295">
      <c r="C267" s="1"/>
      <c r="AE267" s="51"/>
      <c r="AO267" s="49"/>
      <c r="AQ267" s="36"/>
      <c r="AR267" s="36"/>
      <c r="AS267" s="36"/>
      <c r="AT267" s="36"/>
      <c r="AU267" s="36"/>
      <c r="AV267" s="36"/>
      <c r="AW267" s="36"/>
      <c r="AX267" s="36"/>
      <c r="AY267" s="36"/>
      <c r="AZ267" s="36"/>
      <c r="BA267" s="36"/>
      <c r="GH267" s="55"/>
      <c r="KD267" s="15"/>
      <c r="KE267" s="51"/>
      <c r="KH267" s="15"/>
      <c r="KI267" s="15"/>
    </row>
    <row r="268" spans="3:295">
      <c r="C268" s="1"/>
      <c r="AE268" s="51"/>
      <c r="AO268" s="49"/>
      <c r="AQ268" s="36"/>
      <c r="AR268" s="36"/>
      <c r="AS268" s="36"/>
      <c r="AT268" s="36"/>
      <c r="AU268" s="36"/>
      <c r="AV268" s="36"/>
      <c r="AW268" s="36"/>
      <c r="AX268" s="36"/>
      <c r="AY268" s="36"/>
      <c r="AZ268" s="36"/>
      <c r="BA268" s="36"/>
      <c r="GH268" s="55"/>
      <c r="KD268" s="15"/>
      <c r="KE268" s="51"/>
      <c r="KH268" s="15"/>
      <c r="KI268" s="15"/>
    </row>
    <row r="269" spans="3:295">
      <c r="C269" s="1"/>
      <c r="AE269" s="51"/>
      <c r="AO269" s="49"/>
      <c r="AQ269" s="36"/>
      <c r="AR269" s="36"/>
      <c r="AS269" s="36"/>
      <c r="AT269" s="36"/>
      <c r="AU269" s="36"/>
      <c r="AV269" s="36"/>
      <c r="AW269" s="36"/>
      <c r="AX269" s="36"/>
      <c r="AY269" s="36"/>
      <c r="AZ269" s="36"/>
      <c r="BA269" s="36"/>
      <c r="GH269" s="55"/>
      <c r="KD269" s="15"/>
      <c r="KE269" s="51"/>
      <c r="KH269" s="15"/>
      <c r="KI269" s="15"/>
    </row>
    <row r="270" spans="3:295">
      <c r="C270" s="1"/>
      <c r="AE270" s="51"/>
      <c r="AO270" s="49"/>
      <c r="AQ270" s="36"/>
      <c r="AR270" s="36"/>
      <c r="AS270" s="36"/>
      <c r="AT270" s="36"/>
      <c r="AU270" s="36"/>
      <c r="AV270" s="36"/>
      <c r="AW270" s="36"/>
      <c r="AX270" s="36"/>
      <c r="AY270" s="36"/>
      <c r="AZ270" s="36"/>
      <c r="BA270" s="36"/>
      <c r="GH270" s="55"/>
      <c r="KD270" s="15"/>
      <c r="KE270" s="51"/>
      <c r="KH270" s="15"/>
      <c r="KI270" s="15"/>
    </row>
    <row r="271" spans="3:295">
      <c r="C271" s="1"/>
      <c r="AE271" s="51"/>
      <c r="AO271" s="49"/>
      <c r="AQ271" s="36"/>
      <c r="AR271" s="36"/>
      <c r="AS271" s="36"/>
      <c r="AT271" s="36"/>
      <c r="AU271" s="36"/>
      <c r="AV271" s="36"/>
      <c r="AW271" s="36"/>
      <c r="AX271" s="36"/>
      <c r="AY271" s="36"/>
      <c r="AZ271" s="36"/>
      <c r="BA271" s="36"/>
      <c r="GH271" s="55"/>
      <c r="KD271" s="15"/>
      <c r="KE271" s="51"/>
      <c r="KH271" s="15"/>
      <c r="KI271" s="15"/>
    </row>
    <row r="272" spans="3:295">
      <c r="C272" s="1"/>
      <c r="AE272" s="51"/>
      <c r="AO272" s="49"/>
      <c r="AQ272" s="36"/>
      <c r="AR272" s="36"/>
      <c r="AS272" s="36"/>
      <c r="AT272" s="36"/>
      <c r="AU272" s="36"/>
      <c r="AV272" s="36"/>
      <c r="AW272" s="36"/>
      <c r="AX272" s="36"/>
      <c r="AY272" s="36"/>
      <c r="AZ272" s="36"/>
      <c r="BA272" s="36"/>
      <c r="GH272" s="55"/>
      <c r="KD272" s="15"/>
      <c r="KE272" s="51"/>
      <c r="KH272" s="15"/>
      <c r="KI272" s="15"/>
    </row>
    <row r="273" spans="3:295">
      <c r="C273" s="1"/>
      <c r="AE273" s="51"/>
      <c r="AO273" s="49"/>
      <c r="AQ273" s="36"/>
      <c r="AR273" s="36"/>
      <c r="AS273" s="36"/>
      <c r="AT273" s="36"/>
      <c r="AU273" s="36"/>
      <c r="AV273" s="36"/>
      <c r="AW273" s="36"/>
      <c r="AX273" s="36"/>
      <c r="AY273" s="36"/>
      <c r="AZ273" s="36"/>
      <c r="BA273" s="36"/>
      <c r="GH273" s="55"/>
      <c r="KD273" s="15"/>
      <c r="KE273" s="51"/>
      <c r="KH273" s="15"/>
      <c r="KI273" s="15"/>
    </row>
    <row r="274" spans="3:295">
      <c r="C274" s="1"/>
      <c r="AE274" s="51"/>
      <c r="AO274" s="49"/>
      <c r="AQ274" s="36"/>
      <c r="AR274" s="36"/>
      <c r="AS274" s="36"/>
      <c r="AT274" s="36"/>
      <c r="AU274" s="36"/>
      <c r="AV274" s="36"/>
      <c r="AW274" s="36"/>
      <c r="AX274" s="36"/>
      <c r="AY274" s="36"/>
      <c r="AZ274" s="36"/>
      <c r="BA274" s="36"/>
      <c r="GH274" s="55"/>
      <c r="KD274" s="15"/>
      <c r="KE274" s="51"/>
      <c r="KH274" s="15"/>
      <c r="KI274" s="15"/>
    </row>
    <row r="275" spans="3:295">
      <c r="C275" s="1"/>
      <c r="AE275" s="51"/>
      <c r="AO275" s="49"/>
      <c r="AQ275" s="36"/>
      <c r="AR275" s="36"/>
      <c r="AS275" s="36"/>
      <c r="AT275" s="36"/>
      <c r="AU275" s="36"/>
      <c r="AV275" s="36"/>
      <c r="AW275" s="36"/>
      <c r="AX275" s="36"/>
      <c r="AY275" s="36"/>
      <c r="AZ275" s="36"/>
      <c r="BA275" s="36"/>
      <c r="GH275" s="55"/>
      <c r="KD275" s="15"/>
      <c r="KE275" s="51"/>
      <c r="KH275" s="15"/>
      <c r="KI275" s="15"/>
    </row>
    <row r="276" spans="3:295">
      <c r="C276" s="1"/>
      <c r="AE276" s="51"/>
      <c r="AO276" s="49"/>
      <c r="AQ276" s="36"/>
      <c r="AR276" s="36"/>
      <c r="AS276" s="36"/>
      <c r="AT276" s="36"/>
      <c r="AU276" s="36"/>
      <c r="AV276" s="36"/>
      <c r="AW276" s="36"/>
      <c r="AX276" s="36"/>
      <c r="AY276" s="36"/>
      <c r="AZ276" s="36"/>
      <c r="BA276" s="36"/>
      <c r="GH276" s="55"/>
      <c r="KD276" s="15"/>
      <c r="KE276" s="51"/>
      <c r="KH276" s="15"/>
      <c r="KI276" s="15"/>
    </row>
    <row r="277" spans="3:295">
      <c r="C277" s="1"/>
      <c r="AE277" s="51"/>
      <c r="AO277" s="49"/>
      <c r="AQ277" s="36"/>
      <c r="AR277" s="36"/>
      <c r="AS277" s="36"/>
      <c r="AT277" s="36"/>
      <c r="AU277" s="36"/>
      <c r="AV277" s="36"/>
      <c r="AW277" s="36"/>
      <c r="AX277" s="36"/>
      <c r="AY277" s="36"/>
      <c r="AZ277" s="36"/>
      <c r="BA277" s="36"/>
      <c r="GH277" s="55"/>
      <c r="KD277" s="15"/>
      <c r="KE277" s="51"/>
      <c r="KH277" s="15"/>
      <c r="KI277" s="15"/>
    </row>
    <row r="278" spans="3:295">
      <c r="C278" s="1"/>
      <c r="AE278" s="51"/>
      <c r="AO278" s="49"/>
      <c r="AQ278" s="36"/>
      <c r="AR278" s="36"/>
      <c r="AS278" s="36"/>
      <c r="AT278" s="36"/>
      <c r="AU278" s="36"/>
      <c r="AV278" s="36"/>
      <c r="AW278" s="36"/>
      <c r="AX278" s="36"/>
      <c r="AY278" s="36"/>
      <c r="AZ278" s="36"/>
      <c r="BA278" s="36"/>
      <c r="GH278" s="55"/>
      <c r="KD278" s="15"/>
      <c r="KE278" s="51"/>
      <c r="KH278" s="15"/>
      <c r="KI278" s="15"/>
    </row>
    <row r="279" spans="3:295">
      <c r="C279" s="1"/>
      <c r="AE279" s="51"/>
      <c r="AO279" s="49"/>
      <c r="AQ279" s="36"/>
      <c r="AR279" s="36"/>
      <c r="AS279" s="36"/>
      <c r="AT279" s="36"/>
      <c r="AU279" s="36"/>
      <c r="AV279" s="36"/>
      <c r="AW279" s="36"/>
      <c r="AX279" s="36"/>
      <c r="AY279" s="36"/>
      <c r="AZ279" s="36"/>
      <c r="BA279" s="36"/>
      <c r="GH279" s="55"/>
      <c r="KD279" s="15"/>
      <c r="KE279" s="51"/>
      <c r="KH279" s="15"/>
      <c r="KI279" s="15"/>
    </row>
    <row r="280" spans="3:295">
      <c r="C280" s="1"/>
      <c r="AE280" s="51"/>
      <c r="AO280" s="49"/>
      <c r="AQ280" s="36"/>
      <c r="AR280" s="36"/>
      <c r="AS280" s="36"/>
      <c r="AT280" s="36"/>
      <c r="AU280" s="36"/>
      <c r="AV280" s="36"/>
      <c r="AW280" s="36"/>
      <c r="AX280" s="36"/>
      <c r="AY280" s="36"/>
      <c r="AZ280" s="36"/>
      <c r="BA280" s="36"/>
      <c r="GH280" s="55"/>
      <c r="KD280" s="15"/>
      <c r="KE280" s="51"/>
      <c r="KH280" s="15"/>
      <c r="KI280" s="15"/>
    </row>
    <row r="281" spans="3:295">
      <c r="C281" s="1"/>
      <c r="AE281" s="51"/>
      <c r="AO281" s="49"/>
      <c r="AQ281" s="36"/>
      <c r="AR281" s="36"/>
      <c r="AS281" s="36"/>
      <c r="AT281" s="36"/>
      <c r="AU281" s="36"/>
      <c r="AV281" s="36"/>
      <c r="AW281" s="36"/>
      <c r="AX281" s="36"/>
      <c r="AY281" s="36"/>
      <c r="AZ281" s="36"/>
      <c r="BA281" s="36"/>
      <c r="GH281" s="55"/>
      <c r="KD281" s="15"/>
      <c r="KE281" s="51"/>
      <c r="KH281" s="15"/>
      <c r="KI281" s="15"/>
    </row>
    <row r="282" spans="3:295">
      <c r="C282" s="1"/>
      <c r="AE282" s="51"/>
      <c r="AO282" s="49"/>
      <c r="AQ282" s="36"/>
      <c r="AR282" s="36"/>
      <c r="AS282" s="36"/>
      <c r="AT282" s="36"/>
      <c r="AU282" s="36"/>
      <c r="AV282" s="36"/>
      <c r="AW282" s="36"/>
      <c r="AX282" s="36"/>
      <c r="AY282" s="36"/>
      <c r="AZ282" s="36"/>
      <c r="BA282" s="36"/>
      <c r="GH282" s="55"/>
      <c r="KD282" s="15"/>
      <c r="KE282" s="51"/>
      <c r="KH282" s="15"/>
      <c r="KI282" s="15"/>
    </row>
    <row r="283" spans="3:295">
      <c r="C283" s="1"/>
      <c r="AE283" s="51"/>
      <c r="AO283" s="49"/>
      <c r="AQ283" s="36"/>
      <c r="AR283" s="36"/>
      <c r="AS283" s="36"/>
      <c r="AT283" s="36"/>
      <c r="AU283" s="36"/>
      <c r="AV283" s="36"/>
      <c r="AW283" s="36"/>
      <c r="AX283" s="36"/>
      <c r="AY283" s="36"/>
      <c r="AZ283" s="36"/>
      <c r="BA283" s="36"/>
      <c r="GH283" s="55"/>
      <c r="KD283" s="15"/>
      <c r="KE283" s="51"/>
      <c r="KH283" s="15"/>
      <c r="KI283" s="15"/>
    </row>
    <row r="284" spans="3:295">
      <c r="C284" s="1"/>
      <c r="AE284" s="51"/>
      <c r="AO284" s="49"/>
      <c r="AQ284" s="36"/>
      <c r="AR284" s="36"/>
      <c r="AS284" s="36"/>
      <c r="AT284" s="36"/>
      <c r="AU284" s="36"/>
      <c r="AV284" s="36"/>
      <c r="AW284" s="36"/>
      <c r="AX284" s="36"/>
      <c r="AY284" s="36"/>
      <c r="AZ284" s="36"/>
      <c r="BA284" s="36"/>
      <c r="GH284" s="55"/>
      <c r="KD284" s="15"/>
      <c r="KE284" s="51"/>
      <c r="KH284" s="15"/>
      <c r="KI284" s="15"/>
    </row>
    <row r="285" spans="3:295">
      <c r="C285" s="1"/>
      <c r="AE285" s="51"/>
      <c r="AO285" s="49"/>
      <c r="AQ285" s="36"/>
      <c r="AR285" s="36"/>
      <c r="AS285" s="36"/>
      <c r="AT285" s="36"/>
      <c r="AU285" s="36"/>
      <c r="AV285" s="36"/>
      <c r="AW285" s="36"/>
      <c r="AX285" s="36"/>
      <c r="AY285" s="36"/>
      <c r="AZ285" s="36"/>
      <c r="BA285" s="36"/>
      <c r="GH285" s="55"/>
      <c r="KD285" s="15"/>
      <c r="KE285" s="51"/>
      <c r="KH285" s="15"/>
      <c r="KI285" s="15"/>
    </row>
    <row r="286" spans="3:295">
      <c r="C286" s="1"/>
      <c r="AE286" s="51"/>
      <c r="AO286" s="49"/>
      <c r="AQ286" s="36"/>
      <c r="AR286" s="36"/>
      <c r="AS286" s="36"/>
      <c r="AT286" s="36"/>
      <c r="AU286" s="36"/>
      <c r="AV286" s="36"/>
      <c r="AW286" s="36"/>
      <c r="AX286" s="36"/>
      <c r="AY286" s="36"/>
      <c r="AZ286" s="36"/>
      <c r="BA286" s="36"/>
      <c r="GH286" s="55"/>
      <c r="KD286" s="15"/>
      <c r="KE286" s="51"/>
      <c r="KH286" s="15"/>
      <c r="KI286" s="15"/>
    </row>
    <row r="287" spans="3:295">
      <c r="C287" s="1"/>
      <c r="AE287" s="51"/>
      <c r="AO287" s="49"/>
      <c r="AQ287" s="36"/>
      <c r="AR287" s="36"/>
      <c r="AS287" s="36"/>
      <c r="AT287" s="36"/>
      <c r="AU287" s="36"/>
      <c r="AV287" s="36"/>
      <c r="AW287" s="36"/>
      <c r="AX287" s="36"/>
      <c r="AY287" s="36"/>
      <c r="AZ287" s="36"/>
      <c r="BA287" s="36"/>
      <c r="GH287" s="55"/>
      <c r="KD287" s="15"/>
      <c r="KE287" s="51"/>
      <c r="KH287" s="15"/>
      <c r="KI287" s="15"/>
    </row>
    <row r="288" spans="3:295">
      <c r="C288" s="1"/>
      <c r="AE288" s="51"/>
      <c r="AO288" s="49"/>
      <c r="AQ288" s="36"/>
      <c r="AR288" s="36"/>
      <c r="AS288" s="36"/>
      <c r="AT288" s="36"/>
      <c r="AU288" s="36"/>
      <c r="AV288" s="36"/>
      <c r="AW288" s="36"/>
      <c r="AX288" s="36"/>
      <c r="AY288" s="36"/>
      <c r="AZ288" s="36"/>
      <c r="BA288" s="36"/>
      <c r="GH288" s="55"/>
      <c r="KD288" s="15"/>
      <c r="KE288" s="51"/>
      <c r="KH288" s="15"/>
      <c r="KI288" s="15"/>
    </row>
    <row r="289" spans="3:295">
      <c r="C289" s="1"/>
      <c r="AE289" s="51"/>
      <c r="AO289" s="49"/>
      <c r="AQ289" s="36"/>
      <c r="AR289" s="36"/>
      <c r="AS289" s="36"/>
      <c r="AT289" s="36"/>
      <c r="AU289" s="36"/>
      <c r="AV289" s="36"/>
      <c r="AW289" s="36"/>
      <c r="AX289" s="36"/>
      <c r="AY289" s="36"/>
      <c r="AZ289" s="36"/>
      <c r="BA289" s="36"/>
      <c r="GH289" s="55"/>
      <c r="KD289" s="15"/>
      <c r="KE289" s="51"/>
      <c r="KH289" s="15"/>
      <c r="KI289" s="15"/>
    </row>
    <row r="290" spans="3:295">
      <c r="C290" s="1"/>
      <c r="AE290" s="51"/>
      <c r="AO290" s="49"/>
      <c r="AQ290" s="36"/>
      <c r="AR290" s="36"/>
      <c r="AS290" s="36"/>
      <c r="AT290" s="36"/>
      <c r="AU290" s="36"/>
      <c r="AV290" s="36"/>
      <c r="AW290" s="36"/>
      <c r="AX290" s="36"/>
      <c r="AY290" s="36"/>
      <c r="AZ290" s="36"/>
      <c r="BA290" s="36"/>
      <c r="GH290" s="55"/>
      <c r="KD290" s="15"/>
      <c r="KE290" s="51"/>
      <c r="KH290" s="15"/>
      <c r="KI290" s="15"/>
    </row>
    <row r="291" spans="3:295">
      <c r="C291" s="1"/>
      <c r="AE291" s="51"/>
      <c r="AO291" s="49"/>
      <c r="AQ291" s="36"/>
      <c r="AR291" s="36"/>
      <c r="AS291" s="36"/>
      <c r="AT291" s="36"/>
      <c r="AU291" s="36"/>
      <c r="AV291" s="36"/>
      <c r="AW291" s="36"/>
      <c r="AX291" s="36"/>
      <c r="AY291" s="36"/>
      <c r="AZ291" s="36"/>
      <c r="BA291" s="36"/>
      <c r="GH291" s="55"/>
      <c r="KD291" s="15"/>
      <c r="KE291" s="51"/>
      <c r="KH291" s="15"/>
      <c r="KI291" s="15"/>
    </row>
    <row r="292" spans="3:295">
      <c r="C292" s="1"/>
      <c r="AE292" s="51"/>
      <c r="AO292" s="49"/>
      <c r="AQ292" s="36"/>
      <c r="AR292" s="36"/>
      <c r="AS292" s="36"/>
      <c r="AT292" s="36"/>
      <c r="AU292" s="36"/>
      <c r="AV292" s="36"/>
      <c r="AW292" s="36"/>
      <c r="AX292" s="36"/>
      <c r="AY292" s="36"/>
      <c r="AZ292" s="36"/>
      <c r="BA292" s="36"/>
      <c r="GH292" s="55"/>
      <c r="KD292" s="15"/>
      <c r="KE292" s="51"/>
      <c r="KH292" s="15"/>
      <c r="KI292" s="15"/>
    </row>
    <row r="293" spans="3:295">
      <c r="C293" s="1"/>
      <c r="AE293" s="51"/>
      <c r="AO293" s="49"/>
      <c r="AQ293" s="36"/>
      <c r="AR293" s="36"/>
      <c r="AS293" s="36"/>
      <c r="AT293" s="36"/>
      <c r="AU293" s="36"/>
      <c r="AV293" s="36"/>
      <c r="AW293" s="36"/>
      <c r="AX293" s="36"/>
      <c r="AY293" s="36"/>
      <c r="AZ293" s="36"/>
      <c r="BA293" s="36"/>
      <c r="GH293" s="55"/>
      <c r="KD293" s="15"/>
      <c r="KE293" s="51"/>
      <c r="KH293" s="15"/>
      <c r="KI293" s="15"/>
    </row>
    <row r="294" spans="3:295">
      <c r="C294" s="1"/>
      <c r="AE294" s="51"/>
      <c r="AO294" s="49"/>
      <c r="AQ294" s="36"/>
      <c r="AR294" s="36"/>
      <c r="AS294" s="36"/>
      <c r="AT294" s="36"/>
      <c r="AU294" s="36"/>
      <c r="AV294" s="36"/>
      <c r="AW294" s="36"/>
      <c r="AX294" s="36"/>
      <c r="AY294" s="36"/>
      <c r="AZ294" s="36"/>
      <c r="BA294" s="36"/>
      <c r="GH294" s="55"/>
      <c r="KD294" s="15"/>
      <c r="KE294" s="51"/>
      <c r="KH294" s="15"/>
      <c r="KI294" s="15"/>
    </row>
    <row r="295" spans="3:295">
      <c r="C295" s="1"/>
      <c r="AE295" s="51"/>
      <c r="AO295" s="49"/>
      <c r="AQ295" s="36"/>
      <c r="AR295" s="36"/>
      <c r="AS295" s="36"/>
      <c r="AT295" s="36"/>
      <c r="AU295" s="36"/>
      <c r="AV295" s="36"/>
      <c r="AW295" s="36"/>
      <c r="AX295" s="36"/>
      <c r="AY295" s="36"/>
      <c r="AZ295" s="36"/>
      <c r="BA295" s="36"/>
      <c r="GH295" s="55"/>
      <c r="KD295" s="15"/>
      <c r="KE295" s="51"/>
      <c r="KH295" s="15"/>
      <c r="KI295" s="15"/>
    </row>
    <row r="296" spans="3:295">
      <c r="C296" s="1"/>
      <c r="AE296" s="51"/>
      <c r="AO296" s="49"/>
      <c r="AQ296" s="36"/>
      <c r="AR296" s="36"/>
      <c r="AS296" s="36"/>
      <c r="AT296" s="36"/>
      <c r="AU296" s="36"/>
      <c r="AV296" s="36"/>
      <c r="AW296" s="36"/>
      <c r="AX296" s="36"/>
      <c r="AY296" s="36"/>
      <c r="AZ296" s="36"/>
      <c r="BA296" s="36"/>
      <c r="GH296" s="55"/>
      <c r="KD296" s="15"/>
      <c r="KE296" s="51"/>
      <c r="KH296" s="15"/>
      <c r="KI296" s="15"/>
    </row>
    <row r="297" spans="3:295">
      <c r="C297" s="1"/>
      <c r="AE297" s="51"/>
      <c r="AO297" s="49"/>
      <c r="AQ297" s="36"/>
      <c r="AR297" s="36"/>
      <c r="AS297" s="36"/>
      <c r="AT297" s="36"/>
      <c r="AU297" s="36"/>
      <c r="AV297" s="36"/>
      <c r="AW297" s="36"/>
      <c r="AX297" s="36"/>
      <c r="AY297" s="36"/>
      <c r="AZ297" s="36"/>
      <c r="BA297" s="36"/>
      <c r="GH297" s="55"/>
      <c r="KD297" s="15"/>
      <c r="KE297" s="51"/>
      <c r="KH297" s="15"/>
      <c r="KI297" s="15"/>
    </row>
    <row r="298" spans="3:295">
      <c r="C298" s="1"/>
      <c r="AE298" s="51"/>
      <c r="AO298" s="49"/>
      <c r="AQ298" s="36"/>
      <c r="AR298" s="36"/>
      <c r="AS298" s="36"/>
      <c r="AT298" s="36"/>
      <c r="AU298" s="36"/>
      <c r="AV298" s="36"/>
      <c r="AW298" s="36"/>
      <c r="AX298" s="36"/>
      <c r="AY298" s="36"/>
      <c r="AZ298" s="36"/>
      <c r="BA298" s="36"/>
      <c r="GH298" s="55"/>
      <c r="KD298" s="15"/>
      <c r="KE298" s="51"/>
      <c r="KH298" s="15"/>
      <c r="KI298" s="15"/>
    </row>
    <row r="299" spans="3:295">
      <c r="C299" s="1"/>
      <c r="AE299" s="51"/>
      <c r="AO299" s="49"/>
      <c r="AQ299" s="36"/>
      <c r="AR299" s="36"/>
      <c r="AS299" s="36"/>
      <c r="AT299" s="36"/>
      <c r="AU299" s="36"/>
      <c r="AV299" s="36"/>
      <c r="AW299" s="36"/>
      <c r="AX299" s="36"/>
      <c r="AY299" s="36"/>
      <c r="AZ299" s="36"/>
      <c r="BA299" s="36"/>
      <c r="GH299" s="55"/>
      <c r="KD299" s="15"/>
      <c r="KE299" s="51"/>
      <c r="KH299" s="15"/>
      <c r="KI299" s="15"/>
    </row>
    <row r="300" spans="3:295">
      <c r="C300" s="1"/>
      <c r="AE300" s="51"/>
      <c r="AO300" s="49"/>
      <c r="AQ300" s="36"/>
      <c r="AR300" s="36"/>
      <c r="AS300" s="36"/>
      <c r="AT300" s="36"/>
      <c r="AU300" s="36"/>
      <c r="AV300" s="36"/>
      <c r="AW300" s="36"/>
      <c r="AX300" s="36"/>
      <c r="AY300" s="36"/>
      <c r="AZ300" s="36"/>
      <c r="BA300" s="36"/>
      <c r="GH300" s="55"/>
      <c r="KD300" s="15"/>
      <c r="KE300" s="51"/>
      <c r="KH300" s="15"/>
      <c r="KI300" s="15"/>
    </row>
    <row r="301" spans="3:295">
      <c r="C301" s="1"/>
      <c r="AE301" s="51"/>
      <c r="AO301" s="49"/>
      <c r="AQ301" s="36"/>
      <c r="AR301" s="36"/>
      <c r="AS301" s="36"/>
      <c r="AT301" s="36"/>
      <c r="AU301" s="36"/>
      <c r="AV301" s="36"/>
      <c r="AW301" s="36"/>
      <c r="AX301" s="36"/>
      <c r="AY301" s="36"/>
      <c r="AZ301" s="36"/>
      <c r="BA301" s="36"/>
      <c r="GH301" s="55"/>
      <c r="KD301" s="15"/>
      <c r="KE301" s="51"/>
      <c r="KH301" s="15"/>
      <c r="KI301" s="15"/>
    </row>
    <row r="302" spans="3:295">
      <c r="C302" s="1"/>
      <c r="AE302" s="51"/>
      <c r="AO302" s="49"/>
      <c r="AQ302" s="36"/>
      <c r="AR302" s="36"/>
      <c r="AS302" s="36"/>
      <c r="AT302" s="36"/>
      <c r="AU302" s="36"/>
      <c r="AV302" s="36"/>
      <c r="AW302" s="36"/>
      <c r="AX302" s="36"/>
      <c r="AY302" s="36"/>
      <c r="AZ302" s="36"/>
      <c r="BA302" s="36"/>
      <c r="GH302" s="55"/>
      <c r="KD302" s="15"/>
      <c r="KE302" s="51"/>
      <c r="KH302" s="15"/>
      <c r="KI302" s="15"/>
    </row>
    <row r="303" spans="3:295">
      <c r="C303" s="1"/>
      <c r="AE303" s="51"/>
      <c r="AO303" s="49"/>
      <c r="AQ303" s="36"/>
      <c r="AR303" s="36"/>
      <c r="AS303" s="36"/>
      <c r="AT303" s="36"/>
      <c r="AU303" s="36"/>
      <c r="AV303" s="36"/>
      <c r="AW303" s="36"/>
      <c r="AX303" s="36"/>
      <c r="AY303" s="36"/>
      <c r="AZ303" s="36"/>
      <c r="BA303" s="36"/>
      <c r="GH303" s="55"/>
      <c r="KD303" s="15"/>
      <c r="KE303" s="51"/>
      <c r="KH303" s="15"/>
      <c r="KI303" s="15"/>
    </row>
    <row r="304" spans="3:295">
      <c r="C304" s="1"/>
      <c r="AE304" s="51"/>
      <c r="AO304" s="49"/>
      <c r="AQ304" s="36"/>
      <c r="AR304" s="36"/>
      <c r="AS304" s="36"/>
      <c r="AT304" s="36"/>
      <c r="AU304" s="36"/>
      <c r="AV304" s="36"/>
      <c r="AW304" s="36"/>
      <c r="AX304" s="36"/>
      <c r="AY304" s="36"/>
      <c r="AZ304" s="36"/>
      <c r="BA304" s="36"/>
      <c r="GH304" s="55"/>
      <c r="KD304" s="15"/>
      <c r="KE304" s="51"/>
      <c r="KH304" s="15"/>
      <c r="KI304" s="15"/>
    </row>
    <row r="305" spans="3:295">
      <c r="C305" s="1"/>
      <c r="AE305" s="51"/>
      <c r="AO305" s="49"/>
      <c r="AQ305" s="36"/>
      <c r="AR305" s="36"/>
      <c r="AS305" s="36"/>
      <c r="AT305" s="36"/>
      <c r="AU305" s="36"/>
      <c r="AV305" s="36"/>
      <c r="AW305" s="36"/>
      <c r="AX305" s="36"/>
      <c r="AY305" s="36"/>
      <c r="AZ305" s="36"/>
      <c r="BA305" s="36"/>
      <c r="GH305" s="55"/>
      <c r="KD305" s="15"/>
      <c r="KE305" s="51"/>
      <c r="KH305" s="15"/>
      <c r="KI305" s="15"/>
    </row>
    <row r="306" spans="3:295">
      <c r="C306" s="1"/>
      <c r="AE306" s="51"/>
      <c r="AO306" s="49"/>
      <c r="AQ306" s="36"/>
      <c r="AR306" s="36"/>
      <c r="AS306" s="36"/>
      <c r="AT306" s="36"/>
      <c r="AU306" s="36"/>
      <c r="AV306" s="36"/>
      <c r="AW306" s="36"/>
      <c r="AX306" s="36"/>
      <c r="AY306" s="36"/>
      <c r="AZ306" s="36"/>
      <c r="BA306" s="36"/>
      <c r="GH306" s="55"/>
      <c r="KD306" s="15"/>
      <c r="KE306" s="51"/>
      <c r="KH306" s="15"/>
      <c r="KI306" s="15"/>
    </row>
    <row r="307" spans="3:295">
      <c r="C307" s="1"/>
      <c r="AE307" s="51"/>
      <c r="AO307" s="49"/>
      <c r="AQ307" s="36"/>
      <c r="AR307" s="36"/>
      <c r="AS307" s="36"/>
      <c r="AT307" s="36"/>
      <c r="AU307" s="36"/>
      <c r="AV307" s="36"/>
      <c r="AW307" s="36"/>
      <c r="AX307" s="36"/>
      <c r="AY307" s="36"/>
      <c r="AZ307" s="36"/>
      <c r="BA307" s="36"/>
      <c r="GH307" s="55"/>
      <c r="KD307" s="15"/>
      <c r="KE307" s="51"/>
      <c r="KH307" s="15"/>
      <c r="KI307" s="15"/>
    </row>
    <row r="308" spans="3:295">
      <c r="C308" s="1"/>
      <c r="AE308" s="51"/>
      <c r="AO308" s="49"/>
      <c r="AQ308" s="36"/>
      <c r="AR308" s="36"/>
      <c r="AS308" s="36"/>
      <c r="AT308" s="36"/>
      <c r="AU308" s="36"/>
      <c r="AV308" s="36"/>
      <c r="AW308" s="36"/>
      <c r="AX308" s="36"/>
      <c r="AY308" s="36"/>
      <c r="AZ308" s="36"/>
      <c r="BA308" s="36"/>
      <c r="GH308" s="55"/>
      <c r="KD308" s="15"/>
      <c r="KE308" s="51"/>
      <c r="KH308" s="15"/>
      <c r="KI308" s="15"/>
    </row>
    <row r="309" spans="3:295">
      <c r="C309" s="1"/>
      <c r="AE309" s="51"/>
      <c r="AO309" s="49"/>
      <c r="AQ309" s="36"/>
      <c r="AR309" s="36"/>
      <c r="AS309" s="36"/>
      <c r="AT309" s="36"/>
      <c r="AU309" s="36"/>
      <c r="AV309" s="36"/>
      <c r="AW309" s="36"/>
      <c r="AX309" s="36"/>
      <c r="AY309" s="36"/>
      <c r="AZ309" s="36"/>
      <c r="BA309" s="36"/>
      <c r="GH309" s="55"/>
      <c r="KD309" s="15"/>
      <c r="KE309" s="51"/>
      <c r="KH309" s="15"/>
      <c r="KI309" s="15"/>
    </row>
    <row r="310" spans="3:295">
      <c r="C310" s="1"/>
      <c r="AE310" s="51"/>
      <c r="AO310" s="49"/>
      <c r="AQ310" s="36"/>
      <c r="AR310" s="36"/>
      <c r="AS310" s="36"/>
      <c r="AT310" s="36"/>
      <c r="AU310" s="36"/>
      <c r="AV310" s="36"/>
      <c r="AW310" s="36"/>
      <c r="AX310" s="36"/>
      <c r="AY310" s="36"/>
      <c r="AZ310" s="36"/>
      <c r="BA310" s="36"/>
      <c r="GH310" s="55"/>
      <c r="KD310" s="15"/>
      <c r="KE310" s="51"/>
      <c r="KH310" s="15"/>
      <c r="KI310" s="15"/>
    </row>
    <row r="311" spans="3:295">
      <c r="C311" s="1"/>
      <c r="AE311" s="51"/>
      <c r="AO311" s="49"/>
      <c r="AQ311" s="36"/>
      <c r="AR311" s="36"/>
      <c r="AS311" s="36"/>
      <c r="AT311" s="36"/>
      <c r="AU311" s="36"/>
      <c r="AV311" s="36"/>
      <c r="AW311" s="36"/>
      <c r="AX311" s="36"/>
      <c r="AY311" s="36"/>
      <c r="AZ311" s="36"/>
      <c r="BA311" s="36"/>
      <c r="GH311" s="55"/>
      <c r="KD311" s="15"/>
      <c r="KE311" s="51"/>
      <c r="KH311" s="15"/>
      <c r="KI311" s="15"/>
    </row>
    <row r="312" spans="3:295">
      <c r="C312" s="1"/>
      <c r="AE312" s="51"/>
      <c r="AO312" s="49"/>
      <c r="AQ312" s="36"/>
      <c r="AR312" s="36"/>
      <c r="AS312" s="36"/>
      <c r="AT312" s="36"/>
      <c r="AU312" s="36"/>
      <c r="AV312" s="36"/>
      <c r="AW312" s="36"/>
      <c r="AX312" s="36"/>
      <c r="AY312" s="36"/>
      <c r="AZ312" s="36"/>
      <c r="BA312" s="36"/>
      <c r="GH312" s="55"/>
      <c r="KD312" s="15"/>
      <c r="KE312" s="51"/>
      <c r="KH312" s="15"/>
      <c r="KI312" s="15"/>
    </row>
    <row r="313" spans="3:295">
      <c r="C313" s="1"/>
      <c r="AE313" s="51"/>
      <c r="AO313" s="49"/>
      <c r="AQ313" s="36"/>
      <c r="AR313" s="36"/>
      <c r="AS313" s="36"/>
      <c r="AT313" s="36"/>
      <c r="AU313" s="36"/>
      <c r="AV313" s="36"/>
      <c r="AW313" s="36"/>
      <c r="AX313" s="36"/>
      <c r="AY313" s="36"/>
      <c r="AZ313" s="36"/>
      <c r="BA313" s="36"/>
      <c r="GH313" s="55"/>
      <c r="KD313" s="15"/>
      <c r="KE313" s="51"/>
      <c r="KH313" s="15"/>
      <c r="KI313" s="15"/>
    </row>
    <row r="314" spans="3:295">
      <c r="C314" s="1"/>
      <c r="AE314" s="51"/>
      <c r="AO314" s="49"/>
      <c r="AQ314" s="36"/>
      <c r="AR314" s="36"/>
      <c r="AS314" s="36"/>
      <c r="AT314" s="36"/>
      <c r="AU314" s="36"/>
      <c r="AV314" s="36"/>
      <c r="AW314" s="36"/>
      <c r="AX314" s="36"/>
      <c r="AY314" s="36"/>
      <c r="AZ314" s="36"/>
      <c r="BA314" s="36"/>
      <c r="GH314" s="55"/>
      <c r="KD314" s="15"/>
      <c r="KE314" s="51"/>
      <c r="KH314" s="15"/>
      <c r="KI314" s="15"/>
    </row>
    <row r="315" spans="3:295">
      <c r="C315" s="1"/>
      <c r="AE315" s="51"/>
      <c r="AO315" s="49"/>
      <c r="AQ315" s="36"/>
      <c r="AR315" s="36"/>
      <c r="AS315" s="36"/>
      <c r="AT315" s="36"/>
      <c r="AU315" s="36"/>
      <c r="AV315" s="36"/>
      <c r="AW315" s="36"/>
      <c r="AX315" s="36"/>
      <c r="AY315" s="36"/>
      <c r="AZ315" s="36"/>
      <c r="BA315" s="36"/>
      <c r="GH315" s="55"/>
      <c r="KD315" s="15"/>
      <c r="KE315" s="51"/>
      <c r="KH315" s="15"/>
      <c r="KI315" s="15"/>
    </row>
    <row r="316" spans="3:295">
      <c r="C316" s="1"/>
      <c r="AE316" s="51"/>
      <c r="AO316" s="49"/>
      <c r="AQ316" s="36"/>
      <c r="AR316" s="36"/>
      <c r="AS316" s="36"/>
      <c r="AT316" s="36"/>
      <c r="AU316" s="36"/>
      <c r="AV316" s="36"/>
      <c r="AW316" s="36"/>
      <c r="AX316" s="36"/>
      <c r="AY316" s="36"/>
      <c r="AZ316" s="36"/>
      <c r="BA316" s="36"/>
      <c r="GH316" s="55"/>
      <c r="KD316" s="15"/>
      <c r="KE316" s="51"/>
      <c r="KH316" s="15"/>
      <c r="KI316" s="15"/>
    </row>
    <row r="317" spans="3:295">
      <c r="C317" s="1"/>
      <c r="AE317" s="51"/>
      <c r="AO317" s="49"/>
      <c r="AQ317" s="36"/>
      <c r="AR317" s="36"/>
      <c r="AS317" s="36"/>
      <c r="AT317" s="36"/>
      <c r="AU317" s="36"/>
      <c r="AV317" s="36"/>
      <c r="AW317" s="36"/>
      <c r="AX317" s="36"/>
      <c r="AY317" s="36"/>
      <c r="AZ317" s="36"/>
      <c r="BA317" s="36"/>
      <c r="GH317" s="55"/>
      <c r="KD317" s="15"/>
      <c r="KE317" s="51"/>
      <c r="KH317" s="15"/>
      <c r="KI317" s="15"/>
    </row>
    <row r="318" spans="3:295">
      <c r="C318" s="1"/>
      <c r="AE318" s="51"/>
      <c r="AO318" s="49"/>
      <c r="AQ318" s="36"/>
      <c r="AR318" s="36"/>
      <c r="AS318" s="36"/>
      <c r="AT318" s="36"/>
      <c r="AU318" s="36"/>
      <c r="AV318" s="36"/>
      <c r="AW318" s="36"/>
      <c r="AX318" s="36"/>
      <c r="AY318" s="36"/>
      <c r="AZ318" s="36"/>
      <c r="BA318" s="36"/>
      <c r="GH318" s="55"/>
      <c r="KD318" s="15"/>
      <c r="KE318" s="51"/>
      <c r="KH318" s="15"/>
      <c r="KI318" s="15"/>
    </row>
    <row r="319" spans="3:295">
      <c r="C319" s="1"/>
      <c r="AE319" s="51"/>
      <c r="AO319" s="49"/>
      <c r="AQ319" s="36"/>
      <c r="AR319" s="36"/>
      <c r="AS319" s="36"/>
      <c r="AT319" s="36"/>
      <c r="AU319" s="36"/>
      <c r="AV319" s="36"/>
      <c r="AW319" s="36"/>
      <c r="AX319" s="36"/>
      <c r="AY319" s="36"/>
      <c r="AZ319" s="36"/>
      <c r="BA319" s="36"/>
      <c r="GH319" s="55"/>
      <c r="KD319" s="15"/>
      <c r="KE319" s="51"/>
      <c r="KH319" s="15"/>
      <c r="KI319" s="15"/>
    </row>
    <row r="320" spans="3:295">
      <c r="C320" s="1"/>
      <c r="AE320" s="51"/>
      <c r="AO320" s="49"/>
      <c r="AQ320" s="36"/>
      <c r="AR320" s="36"/>
      <c r="AS320" s="36"/>
      <c r="AT320" s="36"/>
      <c r="AU320" s="36"/>
      <c r="AV320" s="36"/>
      <c r="AW320" s="36"/>
      <c r="AX320" s="36"/>
      <c r="AY320" s="36"/>
      <c r="AZ320" s="36"/>
      <c r="BA320" s="36"/>
      <c r="GH320" s="55"/>
      <c r="KD320" s="15"/>
      <c r="KE320" s="51"/>
      <c r="KH320" s="15"/>
      <c r="KI320" s="15"/>
    </row>
    <row r="321" spans="3:295">
      <c r="C321" s="1"/>
      <c r="AE321" s="51"/>
      <c r="AO321" s="49"/>
      <c r="AQ321" s="36"/>
      <c r="AR321" s="36"/>
      <c r="AS321" s="36"/>
      <c r="AT321" s="36"/>
      <c r="AU321" s="36"/>
      <c r="AV321" s="36"/>
      <c r="AW321" s="36"/>
      <c r="AX321" s="36"/>
      <c r="AY321" s="36"/>
      <c r="AZ321" s="36"/>
      <c r="BA321" s="36"/>
      <c r="GH321" s="55"/>
      <c r="KD321" s="15"/>
      <c r="KE321" s="51"/>
      <c r="KH321" s="15"/>
      <c r="KI321" s="15"/>
    </row>
    <row r="322" spans="3:295">
      <c r="C322" s="1"/>
      <c r="AE322" s="51"/>
      <c r="AO322" s="49"/>
      <c r="AQ322" s="36"/>
      <c r="AR322" s="36"/>
      <c r="AS322" s="36"/>
      <c r="AT322" s="36"/>
      <c r="AU322" s="36"/>
      <c r="AV322" s="36"/>
      <c r="AW322" s="36"/>
      <c r="AX322" s="36"/>
      <c r="AY322" s="36"/>
      <c r="AZ322" s="36"/>
      <c r="BA322" s="36"/>
      <c r="GH322" s="55"/>
      <c r="KD322" s="15"/>
      <c r="KE322" s="51"/>
      <c r="KH322" s="15"/>
      <c r="KI322" s="15"/>
    </row>
    <row r="323" spans="3:295">
      <c r="C323" s="1"/>
      <c r="AE323" s="51"/>
      <c r="AO323" s="49"/>
      <c r="AQ323" s="36"/>
      <c r="AR323" s="36"/>
      <c r="AS323" s="36"/>
      <c r="AT323" s="36"/>
      <c r="AU323" s="36"/>
      <c r="AV323" s="36"/>
      <c r="AW323" s="36"/>
      <c r="AX323" s="36"/>
      <c r="AY323" s="36"/>
      <c r="AZ323" s="36"/>
      <c r="BA323" s="36"/>
      <c r="GH323" s="55"/>
      <c r="KD323" s="15"/>
      <c r="KE323" s="51"/>
      <c r="KH323" s="15"/>
      <c r="KI323" s="15"/>
    </row>
    <row r="324" spans="3:295">
      <c r="C324" s="1"/>
      <c r="AE324" s="51"/>
      <c r="AO324" s="49"/>
      <c r="AQ324" s="36"/>
      <c r="AR324" s="36"/>
      <c r="AS324" s="36"/>
      <c r="AT324" s="36"/>
      <c r="AU324" s="36"/>
      <c r="AV324" s="36"/>
      <c r="AW324" s="36"/>
      <c r="AX324" s="36"/>
      <c r="AY324" s="36"/>
      <c r="AZ324" s="36"/>
      <c r="BA324" s="36"/>
      <c r="GH324" s="55"/>
      <c r="KD324" s="15"/>
      <c r="KE324" s="51"/>
      <c r="KH324" s="15"/>
      <c r="KI324" s="15"/>
    </row>
    <row r="325" spans="3:295">
      <c r="C325" s="1"/>
      <c r="AE325" s="51"/>
      <c r="AO325" s="49"/>
      <c r="AQ325" s="36"/>
      <c r="AR325" s="36"/>
      <c r="AS325" s="36"/>
      <c r="AT325" s="36"/>
      <c r="AU325" s="36"/>
      <c r="AV325" s="36"/>
      <c r="AW325" s="36"/>
      <c r="AX325" s="36"/>
      <c r="AY325" s="36"/>
      <c r="AZ325" s="36"/>
      <c r="BA325" s="36"/>
      <c r="GH325" s="55"/>
      <c r="KD325" s="15"/>
      <c r="KE325" s="51"/>
      <c r="KH325" s="15"/>
      <c r="KI325" s="15"/>
    </row>
    <row r="326" spans="3:295">
      <c r="C326" s="1"/>
      <c r="AE326" s="51"/>
      <c r="AO326" s="49"/>
      <c r="AQ326" s="36"/>
      <c r="AR326" s="36"/>
      <c r="AS326" s="36"/>
      <c r="AT326" s="36"/>
      <c r="AU326" s="36"/>
      <c r="AV326" s="36"/>
      <c r="AW326" s="36"/>
      <c r="AX326" s="36"/>
      <c r="AY326" s="36"/>
      <c r="AZ326" s="36"/>
      <c r="BA326" s="36"/>
      <c r="GH326" s="55"/>
      <c r="KD326" s="15"/>
      <c r="KE326" s="51"/>
      <c r="KH326" s="15"/>
      <c r="KI326" s="15"/>
    </row>
    <row r="327" spans="3:295">
      <c r="C327" s="1"/>
      <c r="AE327" s="51"/>
      <c r="AO327" s="49"/>
      <c r="AQ327" s="36"/>
      <c r="AR327" s="36"/>
      <c r="AS327" s="36"/>
      <c r="AT327" s="36"/>
      <c r="AU327" s="36"/>
      <c r="AV327" s="36"/>
      <c r="AW327" s="36"/>
      <c r="AX327" s="36"/>
      <c r="AY327" s="36"/>
      <c r="AZ327" s="36"/>
      <c r="BA327" s="36"/>
      <c r="GH327" s="55"/>
      <c r="KD327" s="15"/>
      <c r="KE327" s="51"/>
      <c r="KH327" s="15"/>
      <c r="KI327" s="15"/>
    </row>
    <row r="328" spans="3:295">
      <c r="C328" s="1"/>
      <c r="AE328" s="51"/>
      <c r="AO328" s="49"/>
      <c r="AQ328" s="36"/>
      <c r="AR328" s="36"/>
      <c r="AS328" s="36"/>
      <c r="AT328" s="36"/>
      <c r="AU328" s="36"/>
      <c r="AV328" s="36"/>
      <c r="AW328" s="36"/>
      <c r="AX328" s="36"/>
      <c r="AY328" s="36"/>
      <c r="AZ328" s="36"/>
      <c r="BA328" s="36"/>
      <c r="GH328" s="55"/>
      <c r="KD328" s="15"/>
      <c r="KE328" s="51"/>
      <c r="KH328" s="15"/>
      <c r="KI328" s="15"/>
    </row>
    <row r="329" spans="3:295">
      <c r="C329" s="1"/>
      <c r="AE329" s="51"/>
      <c r="AO329" s="49"/>
      <c r="AQ329" s="36"/>
      <c r="AR329" s="36"/>
      <c r="AS329" s="36"/>
      <c r="AT329" s="36"/>
      <c r="AU329" s="36"/>
      <c r="AV329" s="36"/>
      <c r="AW329" s="36"/>
      <c r="AX329" s="36"/>
      <c r="AY329" s="36"/>
      <c r="AZ329" s="36"/>
      <c r="BA329" s="36"/>
      <c r="GH329" s="55"/>
      <c r="KD329" s="15"/>
      <c r="KE329" s="51"/>
      <c r="KH329" s="15"/>
      <c r="KI329" s="15"/>
    </row>
    <row r="330" spans="3:295">
      <c r="C330" s="1"/>
      <c r="AE330" s="51"/>
      <c r="AO330" s="49"/>
      <c r="AQ330" s="36"/>
      <c r="AR330" s="36"/>
      <c r="AS330" s="36"/>
      <c r="AT330" s="36"/>
      <c r="AU330" s="36"/>
      <c r="AV330" s="36"/>
      <c r="AW330" s="36"/>
      <c r="AX330" s="36"/>
      <c r="AY330" s="36"/>
      <c r="AZ330" s="36"/>
      <c r="BA330" s="36"/>
      <c r="GH330" s="55"/>
      <c r="KD330" s="15"/>
      <c r="KE330" s="51"/>
      <c r="KH330" s="15"/>
      <c r="KI330" s="15"/>
    </row>
    <row r="331" spans="3:295">
      <c r="C331" s="1"/>
      <c r="AE331" s="51"/>
      <c r="AO331" s="49"/>
      <c r="AQ331" s="36"/>
      <c r="AR331" s="36"/>
      <c r="AS331" s="36"/>
      <c r="AT331" s="36"/>
      <c r="AU331" s="36"/>
      <c r="AV331" s="36"/>
      <c r="AW331" s="36"/>
      <c r="AX331" s="36"/>
      <c r="AY331" s="36"/>
      <c r="AZ331" s="36"/>
      <c r="BA331" s="36"/>
      <c r="GH331" s="55"/>
      <c r="KD331" s="15"/>
      <c r="KE331" s="51"/>
      <c r="KH331" s="15"/>
      <c r="KI331" s="15"/>
    </row>
    <row r="332" spans="3:295">
      <c r="C332" s="1"/>
      <c r="AE332" s="51"/>
      <c r="AO332" s="49"/>
      <c r="AQ332" s="36"/>
      <c r="AR332" s="36"/>
      <c r="AS332" s="36"/>
      <c r="AT332" s="36"/>
      <c r="AU332" s="36"/>
      <c r="AV332" s="36"/>
      <c r="AW332" s="36"/>
      <c r="AX332" s="36"/>
      <c r="AY332" s="36"/>
      <c r="AZ332" s="36"/>
      <c r="BA332" s="36"/>
      <c r="GH332" s="55"/>
      <c r="KD332" s="15"/>
      <c r="KE332" s="51"/>
      <c r="KH332" s="15"/>
      <c r="KI332" s="15"/>
    </row>
    <row r="333" spans="3:295">
      <c r="C333" s="1"/>
      <c r="AE333" s="51"/>
      <c r="AO333" s="49"/>
      <c r="AQ333" s="36"/>
      <c r="AR333" s="36"/>
      <c r="AS333" s="36"/>
      <c r="AT333" s="36"/>
      <c r="AU333" s="36"/>
      <c r="AV333" s="36"/>
      <c r="AW333" s="36"/>
      <c r="AX333" s="36"/>
      <c r="AY333" s="36"/>
      <c r="AZ333" s="36"/>
      <c r="BA333" s="36"/>
      <c r="GH333" s="55"/>
      <c r="KD333" s="15"/>
      <c r="KE333" s="51"/>
      <c r="KH333" s="15"/>
      <c r="KI333" s="15"/>
    </row>
    <row r="334" spans="3:295">
      <c r="C334" s="1"/>
      <c r="AE334" s="51"/>
      <c r="AO334" s="49"/>
      <c r="AQ334" s="36"/>
      <c r="AR334" s="36"/>
      <c r="AS334" s="36"/>
      <c r="AT334" s="36"/>
      <c r="AU334" s="36"/>
      <c r="AV334" s="36"/>
      <c r="AW334" s="36"/>
      <c r="AX334" s="36"/>
      <c r="AY334" s="36"/>
      <c r="AZ334" s="36"/>
      <c r="BA334" s="36"/>
      <c r="GH334" s="55"/>
      <c r="KD334" s="15"/>
      <c r="KE334" s="51"/>
      <c r="KH334" s="15"/>
      <c r="KI334" s="15"/>
    </row>
    <row r="335" spans="3:295">
      <c r="C335" s="1"/>
      <c r="AE335" s="51"/>
      <c r="AO335" s="49"/>
      <c r="AQ335" s="36"/>
      <c r="AR335" s="36"/>
      <c r="AS335" s="36"/>
      <c r="AT335" s="36"/>
      <c r="AU335" s="36"/>
      <c r="AV335" s="36"/>
      <c r="AW335" s="36"/>
      <c r="AX335" s="36"/>
      <c r="AY335" s="36"/>
      <c r="AZ335" s="36"/>
      <c r="BA335" s="36"/>
      <c r="GH335" s="55"/>
      <c r="KD335" s="15"/>
      <c r="KE335" s="51"/>
      <c r="KH335" s="15"/>
      <c r="KI335" s="15"/>
    </row>
    <row r="336" spans="3:295">
      <c r="C336" s="1"/>
      <c r="AE336" s="51"/>
      <c r="AO336" s="49"/>
      <c r="AQ336" s="36"/>
      <c r="AR336" s="36"/>
      <c r="AS336" s="36"/>
      <c r="AT336" s="36"/>
      <c r="AU336" s="36"/>
      <c r="AV336" s="36"/>
      <c r="AW336" s="36"/>
      <c r="AX336" s="36"/>
      <c r="AY336" s="36"/>
      <c r="AZ336" s="36"/>
      <c r="BA336" s="36"/>
      <c r="GH336" s="55"/>
      <c r="KD336" s="15"/>
      <c r="KE336" s="51"/>
      <c r="KH336" s="15"/>
      <c r="KI336" s="15"/>
    </row>
    <row r="337" spans="3:295">
      <c r="C337" s="1"/>
      <c r="AE337" s="51"/>
      <c r="AO337" s="49"/>
      <c r="AQ337" s="36"/>
      <c r="AR337" s="36"/>
      <c r="AS337" s="36"/>
      <c r="AT337" s="36"/>
      <c r="AU337" s="36"/>
      <c r="AV337" s="36"/>
      <c r="AW337" s="36"/>
      <c r="AX337" s="36"/>
      <c r="AY337" s="36"/>
      <c r="AZ337" s="36"/>
      <c r="BA337" s="36"/>
      <c r="GH337" s="55"/>
      <c r="KD337" s="15"/>
      <c r="KE337" s="51"/>
      <c r="KH337" s="15"/>
      <c r="KI337" s="15"/>
    </row>
    <row r="338" spans="3:295">
      <c r="C338" s="1"/>
      <c r="AE338" s="51"/>
      <c r="AO338" s="49"/>
      <c r="AQ338" s="36"/>
      <c r="AR338" s="36"/>
      <c r="AS338" s="36"/>
      <c r="AT338" s="36"/>
      <c r="AU338" s="36"/>
      <c r="AV338" s="36"/>
      <c r="AW338" s="36"/>
      <c r="AX338" s="36"/>
      <c r="AY338" s="36"/>
      <c r="AZ338" s="36"/>
      <c r="BA338" s="36"/>
      <c r="GH338" s="55"/>
      <c r="KD338" s="15"/>
      <c r="KE338" s="51"/>
      <c r="KH338" s="15"/>
      <c r="KI338" s="15"/>
    </row>
    <row r="339" spans="3:295">
      <c r="C339" s="1"/>
      <c r="AE339" s="51"/>
      <c r="AO339" s="49"/>
      <c r="AQ339" s="36"/>
      <c r="AR339" s="36"/>
      <c r="AS339" s="36"/>
      <c r="AT339" s="36"/>
      <c r="AU339" s="36"/>
      <c r="AV339" s="36"/>
      <c r="AW339" s="36"/>
      <c r="AX339" s="36"/>
      <c r="AY339" s="36"/>
      <c r="AZ339" s="36"/>
      <c r="BA339" s="36"/>
      <c r="GH339" s="55"/>
      <c r="KD339" s="15"/>
      <c r="KE339" s="51"/>
      <c r="KH339" s="15"/>
      <c r="KI339" s="15"/>
    </row>
    <row r="340" spans="3:295">
      <c r="C340" s="1"/>
      <c r="AE340" s="51"/>
      <c r="AO340" s="49"/>
      <c r="AQ340" s="36"/>
      <c r="AR340" s="36"/>
      <c r="AS340" s="36"/>
      <c r="AT340" s="36"/>
      <c r="AU340" s="36"/>
      <c r="AV340" s="36"/>
      <c r="AW340" s="36"/>
      <c r="AX340" s="36"/>
      <c r="AY340" s="36"/>
      <c r="AZ340" s="36"/>
      <c r="BA340" s="36"/>
      <c r="GH340" s="55"/>
      <c r="KD340" s="15"/>
      <c r="KE340" s="51"/>
      <c r="KH340" s="15"/>
      <c r="KI340" s="15"/>
    </row>
    <row r="341" spans="3:295">
      <c r="C341" s="1"/>
      <c r="AE341" s="51"/>
      <c r="AO341" s="49"/>
      <c r="AQ341" s="36"/>
      <c r="AR341" s="36"/>
      <c r="AS341" s="36"/>
      <c r="AT341" s="36"/>
      <c r="AU341" s="36"/>
      <c r="AV341" s="36"/>
      <c r="AW341" s="36"/>
      <c r="AX341" s="36"/>
      <c r="AY341" s="36"/>
      <c r="AZ341" s="36"/>
      <c r="BA341" s="36"/>
      <c r="GH341" s="55"/>
      <c r="KD341" s="15"/>
      <c r="KE341" s="51"/>
      <c r="KH341" s="15"/>
      <c r="KI341" s="15"/>
    </row>
    <row r="342" spans="3:295">
      <c r="C342" s="1"/>
      <c r="AE342" s="51"/>
      <c r="AO342" s="49"/>
      <c r="AQ342" s="36"/>
      <c r="AR342" s="36"/>
      <c r="AS342" s="36"/>
      <c r="AT342" s="36"/>
      <c r="AU342" s="36"/>
      <c r="AV342" s="36"/>
      <c r="AW342" s="36"/>
      <c r="AX342" s="36"/>
      <c r="AY342" s="36"/>
      <c r="AZ342" s="36"/>
      <c r="BA342" s="36"/>
      <c r="GH342" s="55"/>
      <c r="KD342" s="15"/>
      <c r="KE342" s="51"/>
      <c r="KH342" s="15"/>
      <c r="KI342" s="15"/>
    </row>
    <row r="343" spans="3:295">
      <c r="C343" s="1"/>
      <c r="AE343" s="51"/>
      <c r="AO343" s="49"/>
      <c r="AQ343" s="36"/>
      <c r="AR343" s="36"/>
      <c r="AS343" s="36"/>
      <c r="AT343" s="36"/>
      <c r="AU343" s="36"/>
      <c r="AV343" s="36"/>
      <c r="AW343" s="36"/>
      <c r="AX343" s="36"/>
      <c r="AY343" s="36"/>
      <c r="AZ343" s="36"/>
      <c r="BA343" s="36"/>
      <c r="GH343" s="55"/>
      <c r="KD343" s="15"/>
      <c r="KE343" s="51"/>
      <c r="KH343" s="15"/>
      <c r="KI343" s="15"/>
    </row>
    <row r="344" spans="3:295">
      <c r="C344" s="1"/>
      <c r="AE344" s="51"/>
      <c r="AO344" s="49"/>
      <c r="AQ344" s="36"/>
      <c r="AR344" s="36"/>
      <c r="AS344" s="36"/>
      <c r="AT344" s="36"/>
      <c r="AU344" s="36"/>
      <c r="AV344" s="36"/>
      <c r="AW344" s="36"/>
      <c r="AX344" s="36"/>
      <c r="AY344" s="36"/>
      <c r="AZ344" s="36"/>
      <c r="BA344" s="36"/>
      <c r="GH344" s="55"/>
      <c r="KD344" s="15"/>
      <c r="KE344" s="51"/>
      <c r="KH344" s="15"/>
      <c r="KI344" s="15"/>
    </row>
    <row r="345" spans="3:295">
      <c r="C345" s="1"/>
      <c r="AE345" s="51"/>
      <c r="AO345" s="49"/>
      <c r="AQ345" s="36"/>
      <c r="AR345" s="36"/>
      <c r="AS345" s="36"/>
      <c r="AT345" s="36"/>
      <c r="AU345" s="36"/>
      <c r="AV345" s="36"/>
      <c r="AW345" s="36"/>
      <c r="AX345" s="36"/>
      <c r="AY345" s="36"/>
      <c r="AZ345" s="36"/>
      <c r="BA345" s="36"/>
      <c r="GH345" s="55"/>
      <c r="KD345" s="15"/>
      <c r="KE345" s="51"/>
      <c r="KH345" s="15"/>
      <c r="KI345" s="15"/>
    </row>
    <row r="346" spans="3:295">
      <c r="C346" s="1"/>
      <c r="AE346" s="51"/>
      <c r="AO346" s="49"/>
      <c r="AQ346" s="36"/>
      <c r="AR346" s="36"/>
      <c r="AS346" s="36"/>
      <c r="AT346" s="36"/>
      <c r="AU346" s="36"/>
      <c r="AV346" s="36"/>
      <c r="AW346" s="36"/>
      <c r="AX346" s="36"/>
      <c r="AY346" s="36"/>
      <c r="AZ346" s="36"/>
      <c r="BA346" s="36"/>
      <c r="GH346" s="55"/>
      <c r="KD346" s="15"/>
      <c r="KE346" s="51"/>
      <c r="KH346" s="15"/>
      <c r="KI346" s="15"/>
    </row>
    <row r="347" spans="3:295">
      <c r="C347" s="1"/>
      <c r="AE347" s="51"/>
      <c r="AO347" s="49"/>
      <c r="AQ347" s="36"/>
      <c r="AR347" s="36"/>
      <c r="AS347" s="36"/>
      <c r="AT347" s="36"/>
      <c r="AU347" s="36"/>
      <c r="AV347" s="36"/>
      <c r="AW347" s="36"/>
      <c r="AX347" s="36"/>
      <c r="AY347" s="36"/>
      <c r="AZ347" s="36"/>
      <c r="BA347" s="36"/>
      <c r="GH347" s="55"/>
      <c r="KD347" s="15"/>
      <c r="KE347" s="51"/>
      <c r="KH347" s="15"/>
      <c r="KI347" s="15"/>
    </row>
    <row r="348" spans="3:295">
      <c r="C348" s="1"/>
      <c r="AE348" s="51"/>
      <c r="AO348" s="49"/>
      <c r="AQ348" s="36"/>
      <c r="AR348" s="36"/>
      <c r="AS348" s="36"/>
      <c r="AT348" s="36"/>
      <c r="AU348" s="36"/>
      <c r="AV348" s="36"/>
      <c r="AW348" s="36"/>
      <c r="AX348" s="36"/>
      <c r="AY348" s="36"/>
      <c r="AZ348" s="36"/>
      <c r="BA348" s="36"/>
      <c r="GH348" s="55"/>
      <c r="KD348" s="15"/>
      <c r="KE348" s="51"/>
      <c r="KH348" s="15"/>
      <c r="KI348" s="15"/>
    </row>
    <row r="349" spans="3:295">
      <c r="C349" s="1"/>
      <c r="AE349" s="51"/>
      <c r="AO349" s="49"/>
      <c r="AQ349" s="36"/>
      <c r="AR349" s="36"/>
      <c r="AS349" s="36"/>
      <c r="AT349" s="36"/>
      <c r="AU349" s="36"/>
      <c r="AV349" s="36"/>
      <c r="AW349" s="36"/>
      <c r="AX349" s="36"/>
      <c r="AY349" s="36"/>
      <c r="AZ349" s="36"/>
      <c r="BA349" s="36"/>
      <c r="GH349" s="55"/>
      <c r="KD349" s="15"/>
      <c r="KE349" s="51"/>
      <c r="KH349" s="15"/>
      <c r="KI349" s="15"/>
    </row>
    <row r="350" spans="3:295">
      <c r="C350" s="1"/>
      <c r="AE350" s="51"/>
      <c r="AO350" s="49"/>
      <c r="AQ350" s="36"/>
      <c r="AR350" s="36"/>
      <c r="AS350" s="36"/>
      <c r="AT350" s="36"/>
      <c r="AU350" s="36"/>
      <c r="AV350" s="36"/>
      <c r="AW350" s="36"/>
      <c r="AX350" s="36"/>
      <c r="AY350" s="36"/>
      <c r="AZ350" s="36"/>
      <c r="BA350" s="36"/>
      <c r="GH350" s="55"/>
      <c r="KD350" s="15"/>
      <c r="KE350" s="51"/>
      <c r="KH350" s="15"/>
      <c r="KI350" s="15"/>
    </row>
    <row r="351" spans="3:295">
      <c r="C351" s="1"/>
      <c r="AE351" s="51"/>
      <c r="AO351" s="49"/>
      <c r="AQ351" s="36"/>
      <c r="AR351" s="36"/>
      <c r="AS351" s="36"/>
      <c r="AT351" s="36"/>
      <c r="AU351" s="36"/>
      <c r="AV351" s="36"/>
      <c r="AW351" s="36"/>
      <c r="AX351" s="36"/>
      <c r="AY351" s="36"/>
      <c r="AZ351" s="36"/>
      <c r="BA351" s="36"/>
      <c r="GH351" s="55"/>
      <c r="KD351" s="15"/>
      <c r="KE351" s="51"/>
      <c r="KH351" s="15"/>
      <c r="KI351" s="15"/>
    </row>
    <row r="352" spans="3:295">
      <c r="C352" s="1"/>
      <c r="AE352" s="51"/>
      <c r="AO352" s="49"/>
      <c r="AQ352" s="36"/>
      <c r="AR352" s="36"/>
      <c r="AS352" s="36"/>
      <c r="AT352" s="36"/>
      <c r="AU352" s="36"/>
      <c r="AV352" s="36"/>
      <c r="AW352" s="36"/>
      <c r="AX352" s="36"/>
      <c r="AY352" s="36"/>
      <c r="AZ352" s="36"/>
      <c r="BA352" s="36"/>
      <c r="GH352" s="55"/>
      <c r="KD352" s="15"/>
      <c r="KE352" s="51"/>
      <c r="KH352" s="15"/>
      <c r="KI352" s="15"/>
    </row>
    <row r="353" spans="3:295">
      <c r="C353" s="1"/>
      <c r="AE353" s="51"/>
      <c r="AO353" s="49"/>
      <c r="AQ353" s="36"/>
      <c r="AR353" s="36"/>
      <c r="AS353" s="36"/>
      <c r="AT353" s="36"/>
      <c r="AU353" s="36"/>
      <c r="AV353" s="36"/>
      <c r="AW353" s="36"/>
      <c r="AX353" s="36"/>
      <c r="AY353" s="36"/>
      <c r="AZ353" s="36"/>
      <c r="BA353" s="36"/>
      <c r="GH353" s="55"/>
      <c r="KD353" s="15"/>
      <c r="KE353" s="51"/>
      <c r="KH353" s="15"/>
      <c r="KI353" s="15"/>
    </row>
    <row r="354" spans="3:295">
      <c r="C354" s="1"/>
      <c r="AE354" s="51"/>
      <c r="AO354" s="49"/>
      <c r="AQ354" s="36"/>
      <c r="AR354" s="36"/>
      <c r="AS354" s="36"/>
      <c r="AT354" s="36"/>
      <c r="AU354" s="36"/>
      <c r="AV354" s="36"/>
      <c r="AW354" s="36"/>
      <c r="AX354" s="36"/>
      <c r="AY354" s="36"/>
      <c r="AZ354" s="36"/>
      <c r="BA354" s="36"/>
      <c r="GH354" s="55"/>
      <c r="KD354" s="15"/>
      <c r="KE354" s="51"/>
      <c r="KH354" s="15"/>
      <c r="KI354" s="15"/>
    </row>
    <row r="355" spans="3:295">
      <c r="C355" s="1"/>
      <c r="AE355" s="51"/>
      <c r="AO355" s="49"/>
      <c r="AQ355" s="36"/>
      <c r="AR355" s="36"/>
      <c r="AS355" s="36"/>
      <c r="AT355" s="36"/>
      <c r="AU355" s="36"/>
      <c r="AV355" s="36"/>
      <c r="AW355" s="36"/>
      <c r="AX355" s="36"/>
      <c r="AY355" s="36"/>
      <c r="AZ355" s="36"/>
      <c r="BA355" s="36"/>
      <c r="GH355" s="55"/>
      <c r="KD355" s="15"/>
      <c r="KE355" s="51"/>
      <c r="KH355" s="15"/>
      <c r="KI355" s="15"/>
    </row>
    <row r="356" spans="3:295">
      <c r="C356" s="1"/>
      <c r="AE356" s="51"/>
      <c r="AO356" s="49"/>
      <c r="AQ356" s="36"/>
      <c r="AR356" s="36"/>
      <c r="AS356" s="36"/>
      <c r="AT356" s="36"/>
      <c r="AU356" s="36"/>
      <c r="AV356" s="36"/>
      <c r="AW356" s="36"/>
      <c r="AX356" s="36"/>
      <c r="AY356" s="36"/>
      <c r="AZ356" s="36"/>
      <c r="BA356" s="36"/>
      <c r="GH356" s="55"/>
      <c r="KD356" s="15"/>
      <c r="KE356" s="51"/>
      <c r="KH356" s="15"/>
      <c r="KI356" s="15"/>
    </row>
    <row r="357" spans="3:295">
      <c r="C357" s="1"/>
      <c r="AE357" s="51"/>
      <c r="AO357" s="49"/>
      <c r="AQ357" s="36"/>
      <c r="AR357" s="36"/>
      <c r="AS357" s="36"/>
      <c r="AT357" s="36"/>
      <c r="AU357" s="36"/>
      <c r="AV357" s="36"/>
      <c r="AW357" s="36"/>
      <c r="AX357" s="36"/>
      <c r="AY357" s="36"/>
      <c r="AZ357" s="36"/>
      <c r="BA357" s="36"/>
      <c r="GH357" s="55"/>
      <c r="KD357" s="15"/>
      <c r="KE357" s="51"/>
      <c r="KH357" s="15"/>
      <c r="KI357" s="15"/>
    </row>
    <row r="358" spans="3:295">
      <c r="C358" s="1"/>
      <c r="AE358" s="51"/>
      <c r="AO358" s="49"/>
      <c r="AQ358" s="36"/>
      <c r="AR358" s="36"/>
      <c r="AS358" s="36"/>
      <c r="AT358" s="36"/>
      <c r="AU358" s="36"/>
      <c r="AV358" s="36"/>
      <c r="AW358" s="36"/>
      <c r="AX358" s="36"/>
      <c r="AY358" s="36"/>
      <c r="AZ358" s="36"/>
      <c r="BA358" s="36"/>
      <c r="GH358" s="55"/>
      <c r="KD358" s="15"/>
      <c r="KE358" s="51"/>
      <c r="KH358" s="15"/>
      <c r="KI358" s="15"/>
    </row>
    <row r="359" spans="3:295">
      <c r="C359" s="1"/>
      <c r="AE359" s="51"/>
      <c r="AO359" s="49"/>
      <c r="AQ359" s="36"/>
      <c r="AR359" s="36"/>
      <c r="AS359" s="36"/>
      <c r="AT359" s="36"/>
      <c r="AU359" s="36"/>
      <c r="AV359" s="36"/>
      <c r="AW359" s="36"/>
      <c r="AX359" s="36"/>
      <c r="AY359" s="36"/>
      <c r="AZ359" s="36"/>
      <c r="BA359" s="36"/>
      <c r="GH359" s="55"/>
      <c r="KD359" s="15"/>
      <c r="KE359" s="51"/>
      <c r="KH359" s="15"/>
      <c r="KI359" s="15"/>
    </row>
    <row r="360" spans="3:295">
      <c r="C360" s="1"/>
      <c r="AE360" s="51"/>
      <c r="AO360" s="49"/>
      <c r="AQ360" s="36"/>
      <c r="AR360" s="36"/>
      <c r="AS360" s="36"/>
      <c r="AT360" s="36"/>
      <c r="AU360" s="36"/>
      <c r="AV360" s="36"/>
      <c r="AW360" s="36"/>
      <c r="AX360" s="36"/>
      <c r="AY360" s="36"/>
      <c r="AZ360" s="36"/>
      <c r="BA360" s="36"/>
      <c r="GH360" s="55"/>
      <c r="KD360" s="15"/>
      <c r="KE360" s="51"/>
      <c r="KH360" s="15"/>
      <c r="KI360" s="15"/>
    </row>
    <row r="361" spans="3:295">
      <c r="C361" s="1"/>
      <c r="AE361" s="51"/>
      <c r="AO361" s="49"/>
      <c r="AQ361" s="36"/>
      <c r="AR361" s="36"/>
      <c r="AS361" s="36"/>
      <c r="AT361" s="36"/>
      <c r="AU361" s="36"/>
      <c r="AV361" s="36"/>
      <c r="AW361" s="36"/>
      <c r="AX361" s="36"/>
      <c r="AY361" s="36"/>
      <c r="AZ361" s="36"/>
      <c r="BA361" s="36"/>
      <c r="GH361" s="55"/>
      <c r="KD361" s="15"/>
      <c r="KE361" s="51"/>
      <c r="KH361" s="15"/>
      <c r="KI361" s="15"/>
    </row>
    <row r="362" spans="3:295">
      <c r="C362" s="1"/>
      <c r="AE362" s="51"/>
      <c r="AO362" s="49"/>
      <c r="AQ362" s="36"/>
      <c r="AR362" s="36"/>
      <c r="AS362" s="36"/>
      <c r="AT362" s="36"/>
      <c r="AU362" s="36"/>
      <c r="AV362" s="36"/>
      <c r="AW362" s="36"/>
      <c r="AX362" s="36"/>
      <c r="AY362" s="36"/>
      <c r="AZ362" s="36"/>
      <c r="BA362" s="36"/>
      <c r="GH362" s="55"/>
      <c r="KD362" s="15"/>
      <c r="KE362" s="51"/>
      <c r="KH362" s="15"/>
      <c r="KI362" s="15"/>
    </row>
    <row r="363" spans="3:295">
      <c r="C363" s="1"/>
      <c r="AE363" s="51"/>
      <c r="AO363" s="49"/>
      <c r="AQ363" s="36"/>
      <c r="AR363" s="36"/>
      <c r="AS363" s="36"/>
      <c r="AT363" s="36"/>
      <c r="AU363" s="36"/>
      <c r="AV363" s="36"/>
      <c r="AW363" s="36"/>
      <c r="AX363" s="36"/>
      <c r="AY363" s="36"/>
      <c r="AZ363" s="36"/>
      <c r="BA363" s="36"/>
      <c r="GH363" s="55"/>
      <c r="KD363" s="15"/>
      <c r="KE363" s="51"/>
      <c r="KH363" s="15"/>
      <c r="KI363" s="15"/>
    </row>
    <row r="364" spans="3:295">
      <c r="C364" s="1"/>
      <c r="AE364" s="51"/>
      <c r="AO364" s="49"/>
      <c r="AQ364" s="36"/>
      <c r="AR364" s="36"/>
      <c r="AS364" s="36"/>
      <c r="AT364" s="36"/>
      <c r="AU364" s="36"/>
      <c r="AV364" s="36"/>
      <c r="AW364" s="36"/>
      <c r="AX364" s="36"/>
      <c r="AY364" s="36"/>
      <c r="AZ364" s="36"/>
      <c r="BA364" s="36"/>
      <c r="GH364" s="55"/>
      <c r="KD364" s="15"/>
      <c r="KE364" s="51"/>
      <c r="KH364" s="15"/>
      <c r="KI364" s="15"/>
    </row>
    <row r="365" spans="3:295">
      <c r="C365" s="1"/>
      <c r="AE365" s="51"/>
      <c r="AO365" s="49"/>
      <c r="AQ365" s="36"/>
      <c r="AR365" s="36"/>
      <c r="AS365" s="36"/>
      <c r="AT365" s="36"/>
      <c r="AU365" s="36"/>
      <c r="AV365" s="36"/>
      <c r="AW365" s="36"/>
      <c r="AX365" s="36"/>
      <c r="AY365" s="36"/>
      <c r="AZ365" s="36"/>
      <c r="BA365" s="36"/>
      <c r="GH365" s="55"/>
      <c r="KD365" s="15"/>
      <c r="KE365" s="51"/>
      <c r="KH365" s="15"/>
      <c r="KI365" s="15"/>
    </row>
    <row r="366" spans="3:295">
      <c r="C366" s="1"/>
      <c r="AE366" s="51"/>
      <c r="AO366" s="49"/>
      <c r="AQ366" s="36"/>
      <c r="AR366" s="36"/>
      <c r="AS366" s="36"/>
      <c r="AT366" s="36"/>
      <c r="AU366" s="36"/>
      <c r="AV366" s="36"/>
      <c r="AW366" s="36"/>
      <c r="AX366" s="36"/>
      <c r="AY366" s="36"/>
      <c r="AZ366" s="36"/>
      <c r="BA366" s="36"/>
      <c r="GH366" s="55"/>
      <c r="KD366" s="15"/>
      <c r="KE366" s="51"/>
      <c r="KH366" s="15"/>
      <c r="KI366" s="15"/>
    </row>
    <row r="367" spans="3:295">
      <c r="C367" s="1"/>
      <c r="AE367" s="51"/>
      <c r="AO367" s="49"/>
      <c r="AQ367" s="36"/>
      <c r="AR367" s="36"/>
      <c r="AS367" s="36"/>
      <c r="AT367" s="36"/>
      <c r="AU367" s="36"/>
      <c r="AV367" s="36"/>
      <c r="AW367" s="36"/>
      <c r="AX367" s="36"/>
      <c r="AY367" s="36"/>
      <c r="AZ367" s="36"/>
      <c r="BA367" s="36"/>
      <c r="GH367" s="55"/>
      <c r="KD367" s="15"/>
      <c r="KE367" s="51"/>
      <c r="KH367" s="15"/>
      <c r="KI367" s="15"/>
    </row>
    <row r="368" spans="3:295">
      <c r="C368" s="1"/>
      <c r="AE368" s="51"/>
      <c r="AO368" s="49"/>
      <c r="AQ368" s="36"/>
      <c r="AR368" s="36"/>
      <c r="AS368" s="36"/>
      <c r="AT368" s="36"/>
      <c r="AU368" s="36"/>
      <c r="AV368" s="36"/>
      <c r="AW368" s="36"/>
      <c r="AX368" s="36"/>
      <c r="AY368" s="36"/>
      <c r="AZ368" s="36"/>
      <c r="BA368" s="36"/>
      <c r="GH368" s="55"/>
      <c r="KD368" s="15"/>
      <c r="KE368" s="51"/>
      <c r="KH368" s="15"/>
      <c r="KI368" s="15"/>
    </row>
    <row r="369" spans="3:295">
      <c r="C369" s="1"/>
      <c r="AE369" s="51"/>
      <c r="AO369" s="49"/>
      <c r="AQ369" s="36"/>
      <c r="AR369" s="36"/>
      <c r="AS369" s="36"/>
      <c r="AT369" s="36"/>
      <c r="AU369" s="36"/>
      <c r="AV369" s="36"/>
      <c r="AW369" s="36"/>
      <c r="AX369" s="36"/>
      <c r="AY369" s="36"/>
      <c r="AZ369" s="36"/>
      <c r="BA369" s="36"/>
      <c r="GH369" s="55"/>
      <c r="KD369" s="15"/>
      <c r="KE369" s="51"/>
      <c r="KH369" s="15"/>
      <c r="KI369" s="15"/>
    </row>
    <row r="370" spans="3:295">
      <c r="C370" s="1"/>
      <c r="AE370" s="51"/>
      <c r="AO370" s="49"/>
      <c r="AQ370" s="36"/>
      <c r="AR370" s="36"/>
      <c r="AS370" s="36"/>
      <c r="AT370" s="36"/>
      <c r="AU370" s="36"/>
      <c r="AV370" s="36"/>
      <c r="AW370" s="36"/>
      <c r="AX370" s="36"/>
      <c r="AY370" s="36"/>
      <c r="AZ370" s="36"/>
      <c r="BA370" s="36"/>
      <c r="GH370" s="55"/>
      <c r="KD370" s="15"/>
      <c r="KE370" s="51"/>
      <c r="KH370" s="15"/>
      <c r="KI370" s="15"/>
    </row>
    <row r="371" spans="3:295">
      <c r="C371" s="1"/>
      <c r="AE371" s="51"/>
      <c r="AO371" s="49"/>
      <c r="AQ371" s="36"/>
      <c r="AR371" s="36"/>
      <c r="AS371" s="36"/>
      <c r="AT371" s="36"/>
      <c r="AU371" s="36"/>
      <c r="AV371" s="36"/>
      <c r="AW371" s="36"/>
      <c r="AX371" s="36"/>
      <c r="AY371" s="36"/>
      <c r="AZ371" s="36"/>
      <c r="BA371" s="36"/>
      <c r="GH371" s="55"/>
      <c r="KD371" s="15"/>
      <c r="KE371" s="51"/>
      <c r="KH371" s="15"/>
      <c r="KI371" s="15"/>
    </row>
    <row r="372" spans="3:295">
      <c r="C372" s="1"/>
      <c r="AE372" s="51"/>
      <c r="AO372" s="49"/>
      <c r="AQ372" s="36"/>
      <c r="AR372" s="36"/>
      <c r="AS372" s="36"/>
      <c r="AT372" s="36"/>
      <c r="AU372" s="36"/>
      <c r="AV372" s="36"/>
      <c r="AW372" s="36"/>
      <c r="AX372" s="36"/>
      <c r="AY372" s="36"/>
      <c r="AZ372" s="36"/>
      <c r="BA372" s="36"/>
      <c r="GH372" s="55"/>
      <c r="KD372" s="15"/>
      <c r="KE372" s="51"/>
      <c r="KH372" s="15"/>
      <c r="KI372" s="15"/>
    </row>
    <row r="373" spans="3:295">
      <c r="C373" s="1"/>
      <c r="AE373" s="51"/>
      <c r="AO373" s="49"/>
      <c r="AQ373" s="36"/>
      <c r="AR373" s="36"/>
      <c r="AS373" s="36"/>
      <c r="AT373" s="36"/>
      <c r="AU373" s="36"/>
      <c r="AV373" s="36"/>
      <c r="AW373" s="36"/>
      <c r="AX373" s="36"/>
      <c r="AY373" s="36"/>
      <c r="AZ373" s="36"/>
      <c r="BA373" s="36"/>
      <c r="GH373" s="55"/>
      <c r="KD373" s="15"/>
      <c r="KE373" s="51"/>
      <c r="KH373" s="15"/>
      <c r="KI373" s="15"/>
    </row>
    <row r="374" spans="3:295">
      <c r="C374" s="1"/>
      <c r="AE374" s="51"/>
      <c r="AO374" s="49"/>
      <c r="AQ374" s="36"/>
      <c r="AR374" s="36"/>
      <c r="AS374" s="36"/>
      <c r="AT374" s="36"/>
      <c r="AU374" s="36"/>
      <c r="AV374" s="36"/>
      <c r="AW374" s="36"/>
      <c r="AX374" s="36"/>
      <c r="AY374" s="36"/>
      <c r="AZ374" s="36"/>
      <c r="BA374" s="36"/>
      <c r="GH374" s="55"/>
      <c r="KD374" s="15"/>
      <c r="KE374" s="51"/>
      <c r="KH374" s="15"/>
      <c r="KI374" s="15"/>
    </row>
    <row r="375" spans="3:295">
      <c r="C375" s="1"/>
      <c r="AE375" s="51"/>
      <c r="AO375" s="49"/>
      <c r="AQ375" s="36"/>
      <c r="AR375" s="36"/>
      <c r="AS375" s="36"/>
      <c r="AT375" s="36"/>
      <c r="AU375" s="36"/>
      <c r="AV375" s="36"/>
      <c r="AW375" s="36"/>
      <c r="AX375" s="36"/>
      <c r="AY375" s="36"/>
      <c r="AZ375" s="36"/>
      <c r="BA375" s="36"/>
      <c r="GH375" s="55"/>
      <c r="KD375" s="15"/>
      <c r="KE375" s="51"/>
      <c r="KH375" s="15"/>
      <c r="KI375" s="15"/>
    </row>
    <row r="376" spans="3:295">
      <c r="C376" s="1"/>
      <c r="AE376" s="51"/>
      <c r="AO376" s="49"/>
      <c r="AQ376" s="36"/>
      <c r="AR376" s="36"/>
      <c r="AS376" s="36"/>
      <c r="AT376" s="36"/>
      <c r="AU376" s="36"/>
      <c r="AV376" s="36"/>
      <c r="AW376" s="36"/>
      <c r="AX376" s="36"/>
      <c r="AY376" s="36"/>
      <c r="AZ376" s="36"/>
      <c r="BA376" s="36"/>
      <c r="GH376" s="55"/>
      <c r="KD376" s="15"/>
      <c r="KE376" s="51"/>
      <c r="KH376" s="15"/>
      <c r="KI376" s="15"/>
    </row>
    <row r="377" spans="3:295">
      <c r="C377" s="1"/>
      <c r="AE377" s="51"/>
      <c r="AO377" s="49"/>
      <c r="AQ377" s="36"/>
      <c r="AR377" s="36"/>
      <c r="AS377" s="36"/>
      <c r="AT377" s="36"/>
      <c r="AU377" s="36"/>
      <c r="AV377" s="36"/>
      <c r="AW377" s="36"/>
      <c r="AX377" s="36"/>
      <c r="AY377" s="36"/>
      <c r="AZ377" s="36"/>
      <c r="BA377" s="36"/>
      <c r="GH377" s="55"/>
      <c r="KD377" s="15"/>
      <c r="KE377" s="51"/>
      <c r="KH377" s="15"/>
      <c r="KI377" s="15"/>
    </row>
    <row r="378" spans="3:295">
      <c r="C378" s="1"/>
      <c r="AE378" s="51"/>
      <c r="AO378" s="49"/>
      <c r="AQ378" s="36"/>
      <c r="AR378" s="36"/>
      <c r="AS378" s="36"/>
      <c r="AT378" s="36"/>
      <c r="AU378" s="36"/>
      <c r="AV378" s="36"/>
      <c r="AW378" s="36"/>
      <c r="AX378" s="36"/>
      <c r="AY378" s="36"/>
      <c r="AZ378" s="36"/>
      <c r="BA378" s="36"/>
      <c r="GH378" s="55"/>
      <c r="KD378" s="15"/>
      <c r="KE378" s="51"/>
      <c r="KH378" s="15"/>
      <c r="KI378" s="15"/>
    </row>
    <row r="379" spans="3:295">
      <c r="C379" s="1"/>
      <c r="AE379" s="51"/>
      <c r="AO379" s="49"/>
      <c r="AQ379" s="36"/>
      <c r="AR379" s="36"/>
      <c r="AS379" s="36"/>
      <c r="AT379" s="36"/>
      <c r="AU379" s="36"/>
      <c r="AV379" s="36"/>
      <c r="AW379" s="36"/>
      <c r="AX379" s="36"/>
      <c r="AY379" s="36"/>
      <c r="AZ379" s="36"/>
      <c r="BA379" s="36"/>
      <c r="GH379" s="55"/>
      <c r="KD379" s="15"/>
      <c r="KE379" s="51"/>
      <c r="KH379" s="15"/>
      <c r="KI379" s="15"/>
    </row>
    <row r="380" spans="3:295">
      <c r="C380" s="1"/>
      <c r="AE380" s="51"/>
      <c r="AO380" s="49"/>
      <c r="AQ380" s="36"/>
      <c r="AR380" s="36"/>
      <c r="AS380" s="36"/>
      <c r="AT380" s="36"/>
      <c r="AU380" s="36"/>
      <c r="AV380" s="36"/>
      <c r="AW380" s="36"/>
      <c r="AX380" s="36"/>
      <c r="AY380" s="36"/>
      <c r="AZ380" s="36"/>
      <c r="BA380" s="36"/>
      <c r="GH380" s="55"/>
      <c r="KD380" s="15"/>
      <c r="KE380" s="51"/>
      <c r="KH380" s="15"/>
      <c r="KI380" s="15"/>
    </row>
    <row r="381" spans="3:295">
      <c r="C381" s="1"/>
      <c r="AE381" s="51"/>
      <c r="AO381" s="49"/>
      <c r="AQ381" s="36"/>
      <c r="AR381" s="36"/>
      <c r="AS381" s="36"/>
      <c r="AT381" s="36"/>
      <c r="AU381" s="36"/>
      <c r="AV381" s="36"/>
      <c r="AW381" s="36"/>
      <c r="AX381" s="36"/>
      <c r="AY381" s="36"/>
      <c r="AZ381" s="36"/>
      <c r="BA381" s="36"/>
      <c r="GH381" s="55"/>
      <c r="KD381" s="15"/>
      <c r="KE381" s="51"/>
      <c r="KH381" s="15"/>
      <c r="KI381" s="15"/>
    </row>
    <row r="382" spans="3:295">
      <c r="C382" s="1"/>
      <c r="AE382" s="51"/>
      <c r="AO382" s="49"/>
      <c r="AQ382" s="36"/>
      <c r="AR382" s="36"/>
      <c r="AS382" s="36"/>
      <c r="AT382" s="36"/>
      <c r="AU382" s="36"/>
      <c r="AV382" s="36"/>
      <c r="AW382" s="36"/>
      <c r="AX382" s="36"/>
      <c r="AY382" s="36"/>
      <c r="AZ382" s="36"/>
      <c r="BA382" s="36"/>
      <c r="GH382" s="55"/>
      <c r="KD382" s="15"/>
      <c r="KE382" s="51"/>
      <c r="KH382" s="15"/>
      <c r="KI382" s="15"/>
    </row>
    <row r="383" spans="3:295">
      <c r="C383" s="1"/>
      <c r="AE383" s="51"/>
      <c r="AO383" s="49"/>
      <c r="AQ383" s="36"/>
      <c r="AR383" s="36"/>
      <c r="AS383" s="36"/>
      <c r="AT383" s="36"/>
      <c r="AU383" s="36"/>
      <c r="AV383" s="36"/>
      <c r="AW383" s="36"/>
      <c r="AX383" s="36"/>
      <c r="AY383" s="36"/>
      <c r="AZ383" s="36"/>
      <c r="BA383" s="36"/>
      <c r="GH383" s="55"/>
      <c r="KD383" s="15"/>
      <c r="KE383" s="51"/>
      <c r="KH383" s="15"/>
      <c r="KI383" s="15"/>
    </row>
    <row r="384" spans="3:295">
      <c r="C384" s="1"/>
      <c r="AE384" s="51"/>
      <c r="AO384" s="49"/>
      <c r="AQ384" s="36"/>
      <c r="AR384" s="36"/>
      <c r="AS384" s="36"/>
      <c r="AT384" s="36"/>
      <c r="AU384" s="36"/>
      <c r="AV384" s="36"/>
      <c r="AW384" s="36"/>
      <c r="AX384" s="36"/>
      <c r="AY384" s="36"/>
      <c r="AZ384" s="36"/>
      <c r="BA384" s="36"/>
      <c r="GH384" s="55"/>
      <c r="KD384" s="15"/>
      <c r="KE384" s="51"/>
      <c r="KH384" s="15"/>
      <c r="KI384" s="15"/>
    </row>
    <row r="385" spans="3:295">
      <c r="C385" s="1"/>
      <c r="AE385" s="51"/>
      <c r="AO385" s="49"/>
      <c r="AQ385" s="36"/>
      <c r="AR385" s="36"/>
      <c r="AS385" s="36"/>
      <c r="AT385" s="36"/>
      <c r="AU385" s="36"/>
      <c r="AV385" s="36"/>
      <c r="AW385" s="36"/>
      <c r="AX385" s="36"/>
      <c r="AY385" s="36"/>
      <c r="AZ385" s="36"/>
      <c r="BA385" s="36"/>
      <c r="GH385" s="55"/>
      <c r="KD385" s="15"/>
      <c r="KE385" s="51"/>
      <c r="KH385" s="15"/>
      <c r="KI385" s="15"/>
    </row>
    <row r="386" spans="3:295">
      <c r="C386" s="1"/>
      <c r="AE386" s="51"/>
      <c r="AO386" s="49"/>
      <c r="AQ386" s="36"/>
      <c r="AR386" s="36"/>
      <c r="AS386" s="36"/>
      <c r="AT386" s="36"/>
      <c r="AU386" s="36"/>
      <c r="AV386" s="36"/>
      <c r="AW386" s="36"/>
      <c r="AX386" s="36"/>
      <c r="AY386" s="36"/>
      <c r="AZ386" s="36"/>
      <c r="BA386" s="36"/>
      <c r="GH386" s="55"/>
      <c r="KD386" s="15"/>
      <c r="KE386" s="51"/>
      <c r="KH386" s="15"/>
      <c r="KI386" s="15"/>
    </row>
    <row r="387" spans="3:295">
      <c r="C387" s="1"/>
      <c r="AE387" s="51"/>
      <c r="AO387" s="49"/>
      <c r="AQ387" s="36"/>
      <c r="AR387" s="36"/>
      <c r="AS387" s="36"/>
      <c r="AT387" s="36"/>
      <c r="AU387" s="36"/>
      <c r="AV387" s="36"/>
      <c r="AW387" s="36"/>
      <c r="AX387" s="36"/>
      <c r="AY387" s="36"/>
      <c r="AZ387" s="36"/>
      <c r="BA387" s="36"/>
      <c r="GH387" s="55"/>
      <c r="KD387" s="15"/>
      <c r="KE387" s="51"/>
      <c r="KH387" s="15"/>
      <c r="KI387" s="15"/>
    </row>
    <row r="388" spans="3:295">
      <c r="C388" s="1"/>
      <c r="AE388" s="51"/>
      <c r="AO388" s="49"/>
      <c r="AQ388" s="36"/>
      <c r="AR388" s="36"/>
      <c r="AS388" s="36"/>
      <c r="AT388" s="36"/>
      <c r="AU388" s="36"/>
      <c r="AV388" s="36"/>
      <c r="AW388" s="36"/>
      <c r="AX388" s="36"/>
      <c r="AY388" s="36"/>
      <c r="AZ388" s="36"/>
      <c r="BA388" s="36"/>
      <c r="GH388" s="55"/>
      <c r="KD388" s="15"/>
      <c r="KE388" s="51"/>
      <c r="KH388" s="15"/>
      <c r="KI388" s="15"/>
    </row>
    <row r="389" spans="3:295">
      <c r="C389" s="1"/>
      <c r="AE389" s="51"/>
      <c r="AO389" s="49"/>
      <c r="AQ389" s="36"/>
      <c r="AR389" s="36"/>
      <c r="AS389" s="36"/>
      <c r="AT389" s="36"/>
      <c r="AU389" s="36"/>
      <c r="AV389" s="36"/>
      <c r="AW389" s="36"/>
      <c r="AX389" s="36"/>
      <c r="AY389" s="36"/>
      <c r="AZ389" s="36"/>
      <c r="BA389" s="36"/>
      <c r="GH389" s="55"/>
      <c r="KD389" s="15"/>
      <c r="KE389" s="51"/>
      <c r="KH389" s="15"/>
      <c r="KI389" s="15"/>
    </row>
    <row r="390" spans="3:295">
      <c r="C390" s="1"/>
      <c r="AE390" s="51"/>
      <c r="AO390" s="49"/>
      <c r="AQ390" s="36"/>
      <c r="AR390" s="36"/>
      <c r="AS390" s="36"/>
      <c r="AT390" s="36"/>
      <c r="AU390" s="36"/>
      <c r="AV390" s="36"/>
      <c r="AW390" s="36"/>
      <c r="AX390" s="36"/>
      <c r="AY390" s="36"/>
      <c r="AZ390" s="36"/>
      <c r="BA390" s="36"/>
      <c r="GH390" s="55"/>
      <c r="KD390" s="15"/>
      <c r="KE390" s="51"/>
      <c r="KH390" s="15"/>
      <c r="KI390" s="15"/>
    </row>
    <row r="391" spans="3:295">
      <c r="C391" s="1"/>
      <c r="AE391" s="51"/>
      <c r="AO391" s="49"/>
      <c r="AQ391" s="36"/>
      <c r="AR391" s="36"/>
      <c r="AS391" s="36"/>
      <c r="AT391" s="36"/>
      <c r="AU391" s="36"/>
      <c r="AV391" s="36"/>
      <c r="AW391" s="36"/>
      <c r="AX391" s="36"/>
      <c r="AY391" s="36"/>
      <c r="AZ391" s="36"/>
      <c r="BA391" s="36"/>
      <c r="GH391" s="55"/>
      <c r="KD391" s="15"/>
      <c r="KE391" s="51"/>
      <c r="KH391" s="15"/>
      <c r="KI391" s="15"/>
    </row>
    <row r="392" spans="3:295">
      <c r="C392" s="1"/>
      <c r="AE392" s="51"/>
      <c r="AO392" s="49"/>
      <c r="AQ392" s="36"/>
      <c r="AR392" s="36"/>
      <c r="AS392" s="36"/>
      <c r="AT392" s="36"/>
      <c r="AU392" s="36"/>
      <c r="AV392" s="36"/>
      <c r="AW392" s="36"/>
      <c r="AX392" s="36"/>
      <c r="AY392" s="36"/>
      <c r="AZ392" s="36"/>
      <c r="BA392" s="36"/>
      <c r="GH392" s="55"/>
      <c r="KD392" s="15"/>
      <c r="KE392" s="51"/>
      <c r="KH392" s="15"/>
      <c r="KI392" s="15"/>
    </row>
    <row r="393" spans="3:295">
      <c r="C393" s="1"/>
      <c r="AE393" s="51"/>
      <c r="AO393" s="49"/>
      <c r="AQ393" s="36"/>
      <c r="AR393" s="36"/>
      <c r="AS393" s="36"/>
      <c r="AT393" s="36"/>
      <c r="AU393" s="36"/>
      <c r="AV393" s="36"/>
      <c r="AW393" s="36"/>
      <c r="AX393" s="36"/>
      <c r="AY393" s="36"/>
      <c r="AZ393" s="36"/>
      <c r="BA393" s="36"/>
      <c r="GH393" s="55"/>
      <c r="KD393" s="15"/>
      <c r="KE393" s="51"/>
      <c r="KH393" s="15"/>
      <c r="KI393" s="15"/>
    </row>
    <row r="394" spans="3:295">
      <c r="C394" s="1"/>
      <c r="AE394" s="51"/>
      <c r="AO394" s="49"/>
      <c r="AQ394" s="36"/>
      <c r="AR394" s="36"/>
      <c r="AS394" s="36"/>
      <c r="AT394" s="36"/>
      <c r="AU394" s="36"/>
      <c r="AV394" s="36"/>
      <c r="AW394" s="36"/>
      <c r="AX394" s="36"/>
      <c r="AY394" s="36"/>
      <c r="AZ394" s="36"/>
      <c r="BA394" s="36"/>
      <c r="GH394" s="55"/>
      <c r="KD394" s="15"/>
      <c r="KE394" s="51"/>
      <c r="KH394" s="15"/>
      <c r="KI394" s="15"/>
    </row>
    <row r="395" spans="3:295">
      <c r="C395" s="1"/>
      <c r="AE395" s="51"/>
      <c r="AO395" s="49"/>
      <c r="AQ395" s="36"/>
      <c r="AR395" s="36"/>
      <c r="AS395" s="36"/>
      <c r="AT395" s="36"/>
      <c r="AU395" s="36"/>
      <c r="AV395" s="36"/>
      <c r="AW395" s="36"/>
      <c r="AX395" s="36"/>
      <c r="AY395" s="36"/>
      <c r="AZ395" s="36"/>
      <c r="BA395" s="36"/>
      <c r="GH395" s="55"/>
      <c r="KD395" s="15"/>
      <c r="KE395" s="51"/>
      <c r="KH395" s="15"/>
      <c r="KI395" s="15"/>
    </row>
    <row r="396" spans="3:295">
      <c r="C396" s="1"/>
      <c r="AE396" s="51"/>
      <c r="AO396" s="49"/>
      <c r="AQ396" s="36"/>
      <c r="AR396" s="36"/>
      <c r="AS396" s="36"/>
      <c r="AT396" s="36"/>
      <c r="AU396" s="36"/>
      <c r="AV396" s="36"/>
      <c r="AW396" s="36"/>
      <c r="AX396" s="36"/>
      <c r="AY396" s="36"/>
      <c r="AZ396" s="36"/>
      <c r="BA396" s="36"/>
      <c r="GH396" s="55"/>
      <c r="KD396" s="15"/>
      <c r="KE396" s="51"/>
      <c r="KH396" s="15"/>
      <c r="KI396" s="15"/>
    </row>
    <row r="397" spans="3:295">
      <c r="C397" s="1"/>
      <c r="AE397" s="51"/>
      <c r="AO397" s="49"/>
      <c r="AQ397" s="36"/>
      <c r="AR397" s="36"/>
      <c r="AS397" s="36"/>
      <c r="AT397" s="36"/>
      <c r="AU397" s="36"/>
      <c r="AV397" s="36"/>
      <c r="AW397" s="36"/>
      <c r="AX397" s="36"/>
      <c r="AY397" s="36"/>
      <c r="AZ397" s="36"/>
      <c r="BA397" s="36"/>
      <c r="GH397" s="55"/>
      <c r="KD397" s="15"/>
      <c r="KE397" s="51"/>
      <c r="KH397" s="15"/>
      <c r="KI397" s="15"/>
    </row>
    <row r="398" spans="3:295">
      <c r="C398" s="1"/>
      <c r="AE398" s="51"/>
      <c r="AO398" s="49"/>
      <c r="AQ398" s="36"/>
      <c r="AR398" s="36"/>
      <c r="AS398" s="36"/>
      <c r="AT398" s="36"/>
      <c r="AU398" s="36"/>
      <c r="AV398" s="36"/>
      <c r="AW398" s="36"/>
      <c r="AX398" s="36"/>
      <c r="AY398" s="36"/>
      <c r="AZ398" s="36"/>
      <c r="BA398" s="36"/>
      <c r="GH398" s="55"/>
      <c r="KD398" s="15"/>
      <c r="KE398" s="51"/>
      <c r="KH398" s="15"/>
      <c r="KI398" s="15"/>
    </row>
    <row r="399" spans="3:295">
      <c r="C399" s="1"/>
      <c r="AE399" s="51"/>
      <c r="AO399" s="49"/>
      <c r="AQ399" s="36"/>
      <c r="AR399" s="36"/>
      <c r="AS399" s="36"/>
      <c r="AT399" s="36"/>
      <c r="AU399" s="36"/>
      <c r="AV399" s="36"/>
      <c r="AW399" s="36"/>
      <c r="AX399" s="36"/>
      <c r="AY399" s="36"/>
      <c r="AZ399" s="36"/>
      <c r="BA399" s="36"/>
      <c r="GH399" s="55"/>
      <c r="KD399" s="15"/>
      <c r="KE399" s="51"/>
      <c r="KH399" s="15"/>
      <c r="KI399" s="15"/>
    </row>
    <row r="400" spans="3:295">
      <c r="C400" s="1"/>
      <c r="AE400" s="51"/>
      <c r="AO400" s="49"/>
      <c r="AQ400" s="36"/>
      <c r="AR400" s="36"/>
      <c r="AS400" s="36"/>
      <c r="AT400" s="36"/>
      <c r="AU400" s="36"/>
      <c r="AV400" s="36"/>
      <c r="AW400" s="36"/>
      <c r="AX400" s="36"/>
      <c r="AY400" s="36"/>
      <c r="AZ400" s="36"/>
      <c r="BA400" s="36"/>
      <c r="GH400" s="55"/>
      <c r="KD400" s="15"/>
      <c r="KE400" s="51"/>
      <c r="KH400" s="15"/>
      <c r="KI400" s="15"/>
    </row>
    <row r="401" spans="3:295">
      <c r="C401" s="1"/>
      <c r="AE401" s="51"/>
      <c r="AO401" s="49"/>
      <c r="AQ401" s="36"/>
      <c r="AR401" s="36"/>
      <c r="AS401" s="36"/>
      <c r="AT401" s="36"/>
      <c r="AU401" s="36"/>
      <c r="AV401" s="36"/>
      <c r="AW401" s="36"/>
      <c r="AX401" s="36"/>
      <c r="AY401" s="36"/>
      <c r="AZ401" s="36"/>
      <c r="BA401" s="36"/>
      <c r="GH401" s="55"/>
      <c r="KD401" s="15"/>
      <c r="KE401" s="51"/>
      <c r="KH401" s="15"/>
      <c r="KI401" s="15"/>
    </row>
    <row r="402" spans="3:295">
      <c r="C402" s="1"/>
      <c r="AE402" s="51"/>
      <c r="AO402" s="49"/>
      <c r="AQ402" s="36"/>
      <c r="AR402" s="36"/>
      <c r="AS402" s="36"/>
      <c r="AT402" s="36"/>
      <c r="AU402" s="36"/>
      <c r="AV402" s="36"/>
      <c r="AW402" s="36"/>
      <c r="AX402" s="36"/>
      <c r="AY402" s="36"/>
      <c r="AZ402" s="36"/>
      <c r="BA402" s="36"/>
      <c r="GH402" s="55"/>
      <c r="KD402" s="15"/>
      <c r="KE402" s="51"/>
      <c r="KH402" s="15"/>
      <c r="KI402" s="15"/>
    </row>
    <row r="403" spans="3:295">
      <c r="C403" s="1"/>
      <c r="AE403" s="51"/>
      <c r="AO403" s="49"/>
      <c r="AQ403" s="36"/>
      <c r="AR403" s="36"/>
      <c r="AS403" s="36"/>
      <c r="AT403" s="36"/>
      <c r="AU403" s="36"/>
      <c r="AV403" s="36"/>
      <c r="AW403" s="36"/>
      <c r="AX403" s="36"/>
      <c r="AY403" s="36"/>
      <c r="AZ403" s="36"/>
      <c r="BA403" s="36"/>
      <c r="GH403" s="55"/>
      <c r="KD403" s="15"/>
      <c r="KE403" s="51"/>
      <c r="KH403" s="15"/>
      <c r="KI403" s="15"/>
    </row>
    <row r="404" spans="3:295">
      <c r="C404" s="1"/>
      <c r="AE404" s="51"/>
      <c r="AO404" s="49"/>
      <c r="AQ404" s="36"/>
      <c r="AR404" s="36"/>
      <c r="AS404" s="36"/>
      <c r="AT404" s="36"/>
      <c r="AU404" s="36"/>
      <c r="AV404" s="36"/>
      <c r="AW404" s="36"/>
      <c r="AX404" s="36"/>
      <c r="AY404" s="36"/>
      <c r="AZ404" s="36"/>
      <c r="BA404" s="36"/>
      <c r="GH404" s="55"/>
      <c r="KD404" s="15"/>
      <c r="KE404" s="51"/>
      <c r="KH404" s="15"/>
      <c r="KI404" s="15"/>
    </row>
    <row r="405" spans="3:295">
      <c r="C405" s="1"/>
      <c r="AE405" s="51"/>
      <c r="AO405" s="49"/>
      <c r="AQ405" s="36"/>
      <c r="AR405" s="36"/>
      <c r="AS405" s="36"/>
      <c r="AT405" s="36"/>
      <c r="AU405" s="36"/>
      <c r="AV405" s="36"/>
      <c r="AW405" s="36"/>
      <c r="AX405" s="36"/>
      <c r="AY405" s="36"/>
      <c r="AZ405" s="36"/>
      <c r="BA405" s="36"/>
      <c r="GH405" s="55"/>
      <c r="KD405" s="15"/>
      <c r="KE405" s="51"/>
      <c r="KH405" s="15"/>
      <c r="KI405" s="15"/>
    </row>
    <row r="406" spans="3:295">
      <c r="C406" s="1"/>
      <c r="AE406" s="51"/>
      <c r="AO406" s="49"/>
      <c r="AQ406" s="36"/>
      <c r="AR406" s="36"/>
      <c r="AS406" s="36"/>
      <c r="AT406" s="36"/>
      <c r="AU406" s="36"/>
      <c r="AV406" s="36"/>
      <c r="AW406" s="36"/>
      <c r="AX406" s="36"/>
      <c r="AY406" s="36"/>
      <c r="AZ406" s="36"/>
      <c r="BA406" s="36"/>
      <c r="GH406" s="55"/>
      <c r="KD406" s="15"/>
      <c r="KE406" s="51"/>
      <c r="KH406" s="15"/>
      <c r="KI406" s="15"/>
    </row>
    <row r="407" spans="3:295">
      <c r="C407" s="1"/>
      <c r="AE407" s="51"/>
      <c r="AO407" s="49"/>
      <c r="AQ407" s="36"/>
      <c r="AR407" s="36"/>
      <c r="AS407" s="36"/>
      <c r="AT407" s="36"/>
      <c r="AU407" s="36"/>
      <c r="AV407" s="36"/>
      <c r="AW407" s="36"/>
      <c r="AX407" s="36"/>
      <c r="AY407" s="36"/>
      <c r="AZ407" s="36"/>
      <c r="BA407" s="36"/>
      <c r="GH407" s="55"/>
      <c r="KD407" s="15"/>
      <c r="KE407" s="51"/>
      <c r="KH407" s="15"/>
      <c r="KI407" s="15"/>
    </row>
    <row r="408" spans="3:295">
      <c r="C408" s="1"/>
      <c r="AE408" s="51"/>
      <c r="AO408" s="49"/>
      <c r="AQ408" s="36"/>
      <c r="AR408" s="36"/>
      <c r="AS408" s="36"/>
      <c r="AT408" s="36"/>
      <c r="AU408" s="36"/>
      <c r="AV408" s="36"/>
      <c r="AW408" s="36"/>
      <c r="AX408" s="36"/>
      <c r="AY408" s="36"/>
      <c r="AZ408" s="36"/>
      <c r="BA408" s="36"/>
      <c r="GH408" s="55"/>
      <c r="KD408" s="15"/>
      <c r="KE408" s="51"/>
      <c r="KH408" s="15"/>
      <c r="KI408" s="15"/>
    </row>
    <row r="409" spans="3:295">
      <c r="C409" s="1"/>
      <c r="AE409" s="51"/>
      <c r="AO409" s="49"/>
      <c r="AQ409" s="36"/>
      <c r="AR409" s="36"/>
      <c r="AS409" s="36"/>
      <c r="AT409" s="36"/>
      <c r="AU409" s="36"/>
      <c r="AV409" s="36"/>
      <c r="AW409" s="36"/>
      <c r="AX409" s="36"/>
      <c r="AY409" s="36"/>
      <c r="AZ409" s="36"/>
      <c r="BA409" s="36"/>
      <c r="GH409" s="55"/>
      <c r="KD409" s="15"/>
      <c r="KE409" s="51"/>
      <c r="KH409" s="15"/>
      <c r="KI409" s="15"/>
    </row>
    <row r="410" spans="3:295">
      <c r="C410" s="1"/>
      <c r="AE410" s="51"/>
      <c r="AO410" s="49"/>
      <c r="AQ410" s="36"/>
      <c r="AR410" s="36"/>
      <c r="AS410" s="36"/>
      <c r="AT410" s="36"/>
      <c r="AU410" s="36"/>
      <c r="AV410" s="36"/>
      <c r="AW410" s="36"/>
      <c r="AX410" s="36"/>
      <c r="AY410" s="36"/>
      <c r="AZ410" s="36"/>
      <c r="BA410" s="36"/>
      <c r="GH410" s="55"/>
      <c r="KD410" s="15"/>
      <c r="KE410" s="51"/>
      <c r="KH410" s="15"/>
      <c r="KI410" s="15"/>
    </row>
    <row r="411" spans="3:295">
      <c r="C411" s="1"/>
      <c r="AE411" s="51"/>
      <c r="AO411" s="49"/>
      <c r="AQ411" s="36"/>
      <c r="AR411" s="36"/>
      <c r="AS411" s="36"/>
      <c r="AT411" s="36"/>
      <c r="AU411" s="36"/>
      <c r="AV411" s="36"/>
      <c r="AW411" s="36"/>
      <c r="AX411" s="36"/>
      <c r="AY411" s="36"/>
      <c r="AZ411" s="36"/>
      <c r="BA411" s="36"/>
      <c r="GH411" s="55"/>
      <c r="KD411" s="15"/>
      <c r="KE411" s="51"/>
      <c r="KH411" s="15"/>
      <c r="KI411" s="15"/>
    </row>
    <row r="412" spans="3:295">
      <c r="C412" s="1"/>
      <c r="AE412" s="51"/>
      <c r="AO412" s="49"/>
      <c r="AQ412" s="36"/>
      <c r="AR412" s="36"/>
      <c r="AS412" s="36"/>
      <c r="AT412" s="36"/>
      <c r="AU412" s="36"/>
      <c r="AV412" s="36"/>
      <c r="AW412" s="36"/>
      <c r="AX412" s="36"/>
      <c r="AY412" s="36"/>
      <c r="AZ412" s="36"/>
      <c r="BA412" s="36"/>
      <c r="GH412" s="55"/>
      <c r="KD412" s="15"/>
      <c r="KE412" s="51"/>
      <c r="KH412" s="15"/>
      <c r="KI412" s="15"/>
    </row>
    <row r="413" spans="3:295">
      <c r="C413" s="1"/>
      <c r="AE413" s="51"/>
      <c r="AO413" s="49"/>
      <c r="AQ413" s="36"/>
      <c r="AR413" s="36"/>
      <c r="AS413" s="36"/>
      <c r="AT413" s="36"/>
      <c r="AU413" s="36"/>
      <c r="AV413" s="36"/>
      <c r="AW413" s="36"/>
      <c r="AX413" s="36"/>
      <c r="AY413" s="36"/>
      <c r="AZ413" s="36"/>
      <c r="BA413" s="36"/>
      <c r="GH413" s="55"/>
      <c r="KD413" s="15"/>
      <c r="KE413" s="51"/>
      <c r="KH413" s="15"/>
      <c r="KI413" s="15"/>
    </row>
    <row r="414" spans="3:295">
      <c r="C414" s="1"/>
      <c r="AE414" s="51"/>
      <c r="AO414" s="49"/>
      <c r="AQ414" s="36"/>
      <c r="AR414" s="36"/>
      <c r="AS414" s="36"/>
      <c r="AT414" s="36"/>
      <c r="AU414" s="36"/>
      <c r="AV414" s="36"/>
      <c r="AW414" s="36"/>
      <c r="AX414" s="36"/>
      <c r="AY414" s="36"/>
      <c r="AZ414" s="36"/>
      <c r="BA414" s="36"/>
      <c r="GH414" s="55"/>
      <c r="KD414" s="15"/>
      <c r="KE414" s="51"/>
      <c r="KH414" s="15"/>
      <c r="KI414" s="15"/>
    </row>
    <row r="415" spans="3:295">
      <c r="C415" s="1"/>
      <c r="AE415" s="51"/>
      <c r="AO415" s="49"/>
      <c r="AQ415" s="36"/>
      <c r="AR415" s="36"/>
      <c r="AS415" s="36"/>
      <c r="AT415" s="36"/>
      <c r="AU415" s="36"/>
      <c r="AV415" s="36"/>
      <c r="AW415" s="36"/>
      <c r="AX415" s="36"/>
      <c r="AY415" s="36"/>
      <c r="AZ415" s="36"/>
      <c r="BA415" s="36"/>
      <c r="GH415" s="55"/>
      <c r="KD415" s="15"/>
      <c r="KE415" s="51"/>
      <c r="KH415" s="15"/>
      <c r="KI415" s="15"/>
    </row>
    <row r="416" spans="3:295">
      <c r="C416" s="1"/>
      <c r="AE416" s="51"/>
      <c r="AO416" s="49"/>
      <c r="AQ416" s="36"/>
      <c r="AR416" s="36"/>
      <c r="AS416" s="36"/>
      <c r="AT416" s="36"/>
      <c r="AU416" s="36"/>
      <c r="AV416" s="36"/>
      <c r="AW416" s="36"/>
      <c r="AX416" s="36"/>
      <c r="AY416" s="36"/>
      <c r="AZ416" s="36"/>
      <c r="BA416" s="36"/>
      <c r="GH416" s="55"/>
      <c r="KD416" s="15"/>
      <c r="KE416" s="51"/>
      <c r="KH416" s="15"/>
      <c r="KI416" s="15"/>
    </row>
    <row r="417" spans="3:295">
      <c r="C417" s="1"/>
      <c r="AE417" s="51"/>
      <c r="AO417" s="49"/>
      <c r="AQ417" s="36"/>
      <c r="AR417" s="36"/>
      <c r="AS417" s="36"/>
      <c r="AT417" s="36"/>
      <c r="AU417" s="36"/>
      <c r="AV417" s="36"/>
      <c r="AW417" s="36"/>
      <c r="AX417" s="36"/>
      <c r="AY417" s="36"/>
      <c r="AZ417" s="36"/>
      <c r="BA417" s="36"/>
      <c r="GH417" s="55"/>
      <c r="KD417" s="15"/>
      <c r="KE417" s="51"/>
      <c r="KH417" s="15"/>
      <c r="KI417" s="15"/>
    </row>
    <row r="418" spans="3:295">
      <c r="C418" s="1"/>
      <c r="AE418" s="51"/>
      <c r="AO418" s="49"/>
      <c r="AQ418" s="36"/>
      <c r="AR418" s="36"/>
      <c r="AS418" s="36"/>
      <c r="AT418" s="36"/>
      <c r="AU418" s="36"/>
      <c r="AV418" s="36"/>
      <c r="AW418" s="36"/>
      <c r="AX418" s="36"/>
      <c r="AY418" s="36"/>
      <c r="AZ418" s="36"/>
      <c r="BA418" s="36"/>
      <c r="GH418" s="55"/>
      <c r="KD418" s="15"/>
      <c r="KE418" s="51"/>
      <c r="KH418" s="15"/>
      <c r="KI418" s="15"/>
    </row>
    <row r="419" spans="3:295">
      <c r="C419" s="1"/>
      <c r="AE419" s="51"/>
      <c r="AO419" s="49"/>
      <c r="AQ419" s="36"/>
      <c r="AR419" s="36"/>
      <c r="AS419" s="36"/>
      <c r="AT419" s="36"/>
      <c r="AU419" s="36"/>
      <c r="AV419" s="36"/>
      <c r="AW419" s="36"/>
      <c r="AX419" s="36"/>
      <c r="AY419" s="36"/>
      <c r="AZ419" s="36"/>
      <c r="BA419" s="36"/>
      <c r="GH419" s="55"/>
      <c r="KD419" s="15"/>
      <c r="KE419" s="51"/>
      <c r="KH419" s="15"/>
      <c r="KI419" s="15"/>
    </row>
    <row r="420" spans="3:295">
      <c r="C420" s="1"/>
      <c r="AE420" s="51"/>
      <c r="AO420" s="49"/>
      <c r="AQ420" s="36"/>
      <c r="AR420" s="36"/>
      <c r="AS420" s="36"/>
      <c r="AT420" s="36"/>
      <c r="AU420" s="36"/>
      <c r="AV420" s="36"/>
      <c r="AW420" s="36"/>
      <c r="AX420" s="36"/>
      <c r="AY420" s="36"/>
      <c r="AZ420" s="36"/>
      <c r="BA420" s="36"/>
      <c r="GH420" s="55"/>
      <c r="KD420" s="15"/>
      <c r="KE420" s="51"/>
      <c r="KH420" s="15"/>
      <c r="KI420" s="15"/>
    </row>
    <row r="421" spans="3:295">
      <c r="C421" s="1"/>
      <c r="AE421" s="51"/>
      <c r="AO421" s="49"/>
      <c r="AQ421" s="36"/>
      <c r="AR421" s="36"/>
      <c r="AS421" s="36"/>
      <c r="AT421" s="36"/>
      <c r="AU421" s="36"/>
      <c r="AV421" s="36"/>
      <c r="AW421" s="36"/>
      <c r="AX421" s="36"/>
      <c r="AY421" s="36"/>
      <c r="AZ421" s="36"/>
      <c r="BA421" s="36"/>
      <c r="GH421" s="55"/>
      <c r="KD421" s="15"/>
      <c r="KE421" s="51"/>
      <c r="KH421" s="15"/>
      <c r="KI421" s="15"/>
    </row>
    <row r="422" spans="3:295">
      <c r="C422" s="1"/>
      <c r="AE422" s="51"/>
      <c r="AO422" s="49"/>
      <c r="AQ422" s="36"/>
      <c r="AR422" s="36"/>
      <c r="AS422" s="36"/>
      <c r="AT422" s="36"/>
      <c r="AU422" s="36"/>
      <c r="AV422" s="36"/>
      <c r="AW422" s="36"/>
      <c r="AX422" s="36"/>
      <c r="AY422" s="36"/>
      <c r="AZ422" s="36"/>
      <c r="BA422" s="36"/>
      <c r="GH422" s="55"/>
      <c r="KD422" s="15"/>
      <c r="KE422" s="51"/>
      <c r="KH422" s="15"/>
      <c r="KI422" s="15"/>
    </row>
    <row r="423" spans="3:295">
      <c r="C423" s="1"/>
      <c r="AE423" s="51"/>
      <c r="AO423" s="49"/>
      <c r="AQ423" s="36"/>
      <c r="AR423" s="36"/>
      <c r="AS423" s="36"/>
      <c r="AT423" s="36"/>
      <c r="AU423" s="36"/>
      <c r="AV423" s="36"/>
      <c r="AW423" s="36"/>
      <c r="AX423" s="36"/>
      <c r="AY423" s="36"/>
      <c r="AZ423" s="36"/>
      <c r="BA423" s="36"/>
      <c r="GH423" s="55"/>
      <c r="KD423" s="15"/>
      <c r="KE423" s="51"/>
      <c r="KH423" s="15"/>
      <c r="KI423" s="15"/>
    </row>
    <row r="424" spans="3:295">
      <c r="C424" s="1"/>
      <c r="AE424" s="51"/>
      <c r="AO424" s="49"/>
      <c r="AQ424" s="36"/>
      <c r="AR424" s="36"/>
      <c r="AS424" s="36"/>
      <c r="AT424" s="36"/>
      <c r="AU424" s="36"/>
      <c r="AV424" s="36"/>
      <c r="AW424" s="36"/>
      <c r="AX424" s="36"/>
      <c r="AY424" s="36"/>
      <c r="AZ424" s="36"/>
      <c r="BA424" s="36"/>
      <c r="GH424" s="55"/>
      <c r="KD424" s="15"/>
      <c r="KE424" s="51"/>
      <c r="KH424" s="15"/>
      <c r="KI424" s="15"/>
    </row>
    <row r="425" spans="3:295">
      <c r="C425" s="1"/>
      <c r="AE425" s="51"/>
      <c r="AO425" s="49"/>
      <c r="AQ425" s="36"/>
      <c r="AR425" s="36"/>
      <c r="AS425" s="36"/>
      <c r="AT425" s="36"/>
      <c r="AU425" s="36"/>
      <c r="AV425" s="36"/>
      <c r="AW425" s="36"/>
      <c r="AX425" s="36"/>
      <c r="AY425" s="36"/>
      <c r="AZ425" s="36"/>
      <c r="BA425" s="36"/>
      <c r="GH425" s="55"/>
      <c r="KD425" s="15"/>
      <c r="KE425" s="51"/>
      <c r="KH425" s="15"/>
      <c r="KI425" s="15"/>
    </row>
    <row r="426" spans="3:295">
      <c r="C426" s="1"/>
      <c r="AE426" s="51"/>
      <c r="AO426" s="49"/>
      <c r="AQ426" s="36"/>
      <c r="AR426" s="36"/>
      <c r="AS426" s="36"/>
      <c r="AT426" s="36"/>
      <c r="AU426" s="36"/>
      <c r="AV426" s="36"/>
      <c r="AW426" s="36"/>
      <c r="AX426" s="36"/>
      <c r="AY426" s="36"/>
      <c r="AZ426" s="36"/>
      <c r="BA426" s="36"/>
      <c r="GH426" s="55"/>
      <c r="KD426" s="15"/>
      <c r="KE426" s="51"/>
      <c r="KH426" s="15"/>
      <c r="KI426" s="15"/>
    </row>
    <row r="427" spans="3:295">
      <c r="C427" s="1"/>
      <c r="AE427" s="51"/>
      <c r="AO427" s="49"/>
      <c r="AQ427" s="36"/>
      <c r="AR427" s="36"/>
      <c r="AS427" s="36"/>
      <c r="AT427" s="36"/>
      <c r="AU427" s="36"/>
      <c r="AV427" s="36"/>
      <c r="AW427" s="36"/>
      <c r="AX427" s="36"/>
      <c r="AY427" s="36"/>
      <c r="AZ427" s="36"/>
      <c r="BA427" s="36"/>
      <c r="GH427" s="55"/>
      <c r="KD427" s="15"/>
      <c r="KE427" s="51"/>
      <c r="KH427" s="15"/>
      <c r="KI427" s="15"/>
    </row>
    <row r="428" spans="3:295">
      <c r="C428" s="1"/>
      <c r="AE428" s="51"/>
      <c r="AO428" s="49"/>
      <c r="AQ428" s="36"/>
      <c r="AR428" s="36"/>
      <c r="AS428" s="36"/>
      <c r="AT428" s="36"/>
      <c r="AU428" s="36"/>
      <c r="AV428" s="36"/>
      <c r="AW428" s="36"/>
      <c r="AX428" s="36"/>
      <c r="AY428" s="36"/>
      <c r="AZ428" s="36"/>
      <c r="BA428" s="36"/>
      <c r="GH428" s="55"/>
      <c r="KD428" s="15"/>
      <c r="KE428" s="51"/>
      <c r="KH428" s="15"/>
      <c r="KI428" s="15"/>
    </row>
    <row r="429" spans="3:295">
      <c r="C429" s="1"/>
      <c r="AE429" s="51"/>
      <c r="AO429" s="49"/>
      <c r="AQ429" s="36"/>
      <c r="AR429" s="36"/>
      <c r="AS429" s="36"/>
      <c r="AT429" s="36"/>
      <c r="AU429" s="36"/>
      <c r="AV429" s="36"/>
      <c r="AW429" s="36"/>
      <c r="AX429" s="36"/>
      <c r="AY429" s="36"/>
      <c r="AZ429" s="36"/>
      <c r="BA429" s="36"/>
      <c r="GH429" s="55"/>
      <c r="KD429" s="15"/>
      <c r="KE429" s="51"/>
      <c r="KH429" s="15"/>
      <c r="KI429" s="15"/>
    </row>
    <row r="430" spans="3:295">
      <c r="C430" s="1"/>
      <c r="AE430" s="51"/>
      <c r="AO430" s="49"/>
      <c r="AQ430" s="36"/>
      <c r="AR430" s="36"/>
      <c r="AS430" s="36"/>
      <c r="AT430" s="36"/>
      <c r="AU430" s="36"/>
      <c r="AV430" s="36"/>
      <c r="AW430" s="36"/>
      <c r="AX430" s="36"/>
      <c r="AY430" s="36"/>
      <c r="AZ430" s="36"/>
      <c r="BA430" s="36"/>
      <c r="GH430" s="55"/>
      <c r="KD430" s="15"/>
      <c r="KE430" s="51"/>
      <c r="KH430" s="15"/>
      <c r="KI430" s="15"/>
    </row>
    <row r="431" spans="3:295">
      <c r="C431" s="1"/>
      <c r="AE431" s="51"/>
      <c r="AO431" s="49"/>
      <c r="AQ431" s="36"/>
      <c r="AR431" s="36"/>
      <c r="AS431" s="36"/>
      <c r="AT431" s="36"/>
      <c r="AU431" s="36"/>
      <c r="AV431" s="36"/>
      <c r="AW431" s="36"/>
      <c r="AX431" s="36"/>
      <c r="AY431" s="36"/>
      <c r="AZ431" s="36"/>
      <c r="BA431" s="36"/>
      <c r="GH431" s="55"/>
      <c r="KD431" s="15"/>
      <c r="KE431" s="51"/>
      <c r="KH431" s="15"/>
      <c r="KI431" s="15"/>
    </row>
    <row r="432" spans="3:295">
      <c r="C432" s="1"/>
      <c r="AE432" s="51"/>
      <c r="AO432" s="49"/>
      <c r="AQ432" s="36"/>
      <c r="AR432" s="36"/>
      <c r="AS432" s="36"/>
      <c r="AT432" s="36"/>
      <c r="AU432" s="36"/>
      <c r="AV432" s="36"/>
      <c r="AW432" s="36"/>
      <c r="AX432" s="36"/>
      <c r="AY432" s="36"/>
      <c r="AZ432" s="36"/>
      <c r="BA432" s="36"/>
      <c r="GH432" s="55"/>
      <c r="KD432" s="15"/>
      <c r="KE432" s="51"/>
      <c r="KH432" s="15"/>
      <c r="KI432" s="15"/>
    </row>
    <row r="433" spans="3:295">
      <c r="C433" s="1"/>
      <c r="AE433" s="51"/>
      <c r="AO433" s="49"/>
      <c r="AQ433" s="36"/>
      <c r="AR433" s="36"/>
      <c r="AS433" s="36"/>
      <c r="AT433" s="36"/>
      <c r="AU433" s="36"/>
      <c r="AV433" s="36"/>
      <c r="AW433" s="36"/>
      <c r="AX433" s="36"/>
      <c r="AY433" s="36"/>
      <c r="AZ433" s="36"/>
      <c r="BA433" s="36"/>
      <c r="GH433" s="55"/>
      <c r="KD433" s="15"/>
      <c r="KE433" s="51"/>
      <c r="KH433" s="15"/>
      <c r="KI433" s="15"/>
    </row>
    <row r="434" spans="3:295">
      <c r="C434" s="1"/>
      <c r="AE434" s="51"/>
      <c r="AO434" s="49"/>
      <c r="AQ434" s="36"/>
      <c r="AR434" s="36"/>
      <c r="AS434" s="36"/>
      <c r="AT434" s="36"/>
      <c r="AU434" s="36"/>
      <c r="AV434" s="36"/>
      <c r="AW434" s="36"/>
      <c r="AX434" s="36"/>
      <c r="AY434" s="36"/>
      <c r="AZ434" s="36"/>
      <c r="BA434" s="36"/>
      <c r="GH434" s="55"/>
      <c r="KD434" s="15"/>
      <c r="KE434" s="51"/>
      <c r="KH434" s="15"/>
      <c r="KI434" s="15"/>
    </row>
    <row r="435" spans="3:295">
      <c r="C435" s="1"/>
      <c r="AE435" s="51"/>
      <c r="AO435" s="49"/>
      <c r="AQ435" s="36"/>
      <c r="AR435" s="36"/>
      <c r="AS435" s="36"/>
      <c r="AT435" s="36"/>
      <c r="AU435" s="36"/>
      <c r="AV435" s="36"/>
      <c r="AW435" s="36"/>
      <c r="AX435" s="36"/>
      <c r="AY435" s="36"/>
      <c r="AZ435" s="36"/>
      <c r="BA435" s="36"/>
      <c r="GH435" s="55"/>
      <c r="KD435" s="15"/>
      <c r="KE435" s="51"/>
      <c r="KH435" s="15"/>
      <c r="KI435" s="15"/>
    </row>
    <row r="436" spans="3:295">
      <c r="C436" s="1"/>
      <c r="AE436" s="51"/>
      <c r="AO436" s="49"/>
      <c r="AQ436" s="36"/>
      <c r="AR436" s="36"/>
      <c r="AS436" s="36"/>
      <c r="AT436" s="36"/>
      <c r="AU436" s="36"/>
      <c r="AV436" s="36"/>
      <c r="AW436" s="36"/>
      <c r="AX436" s="36"/>
      <c r="AY436" s="36"/>
      <c r="AZ436" s="36"/>
      <c r="BA436" s="36"/>
      <c r="GH436" s="55"/>
      <c r="KD436" s="15"/>
      <c r="KE436" s="51"/>
      <c r="KH436" s="15"/>
      <c r="KI436" s="15"/>
    </row>
    <row r="437" spans="3:295">
      <c r="C437" s="1"/>
      <c r="AE437" s="51"/>
      <c r="AO437" s="49"/>
      <c r="AQ437" s="36"/>
      <c r="AR437" s="36"/>
      <c r="AS437" s="36"/>
      <c r="AT437" s="36"/>
      <c r="AU437" s="36"/>
      <c r="AV437" s="36"/>
      <c r="AW437" s="36"/>
      <c r="AX437" s="36"/>
      <c r="AY437" s="36"/>
      <c r="AZ437" s="36"/>
      <c r="BA437" s="36"/>
      <c r="GH437" s="55"/>
      <c r="KD437" s="15"/>
      <c r="KE437" s="51"/>
      <c r="KH437" s="15"/>
      <c r="KI437" s="15"/>
    </row>
    <row r="438" spans="3:295">
      <c r="C438" s="1"/>
      <c r="AE438" s="51"/>
      <c r="AO438" s="49"/>
      <c r="AQ438" s="36"/>
      <c r="AR438" s="36"/>
      <c r="AS438" s="36"/>
      <c r="AT438" s="36"/>
      <c r="AU438" s="36"/>
      <c r="AV438" s="36"/>
      <c r="AW438" s="36"/>
      <c r="AX438" s="36"/>
      <c r="AY438" s="36"/>
      <c r="AZ438" s="36"/>
      <c r="BA438" s="36"/>
      <c r="GH438" s="55"/>
      <c r="KD438" s="15"/>
      <c r="KE438" s="51"/>
      <c r="KH438" s="15"/>
      <c r="KI438" s="15"/>
    </row>
    <row r="439" spans="3:295">
      <c r="C439" s="1"/>
      <c r="AE439" s="51"/>
      <c r="AO439" s="49"/>
      <c r="AQ439" s="36"/>
      <c r="AR439" s="36"/>
      <c r="AS439" s="36"/>
      <c r="AT439" s="36"/>
      <c r="AU439" s="36"/>
      <c r="AV439" s="36"/>
      <c r="AW439" s="36"/>
      <c r="AX439" s="36"/>
      <c r="AY439" s="36"/>
      <c r="AZ439" s="36"/>
      <c r="BA439" s="36"/>
      <c r="GH439" s="55"/>
      <c r="KD439" s="15"/>
      <c r="KE439" s="51"/>
      <c r="KH439" s="15"/>
      <c r="KI439" s="15"/>
    </row>
    <row r="440" spans="3:295">
      <c r="C440" s="1"/>
      <c r="AE440" s="51"/>
      <c r="AO440" s="49"/>
      <c r="AQ440" s="36"/>
      <c r="AR440" s="36"/>
      <c r="AS440" s="36"/>
      <c r="AT440" s="36"/>
      <c r="AU440" s="36"/>
      <c r="AV440" s="36"/>
      <c r="AW440" s="36"/>
      <c r="AX440" s="36"/>
      <c r="AY440" s="36"/>
      <c r="AZ440" s="36"/>
      <c r="BA440" s="36"/>
      <c r="GH440" s="55"/>
      <c r="KD440" s="15"/>
      <c r="KE440" s="51"/>
      <c r="KH440" s="15"/>
      <c r="KI440" s="15"/>
    </row>
    <row r="441" spans="3:295">
      <c r="C441" s="1"/>
      <c r="AE441" s="51"/>
      <c r="AO441" s="49"/>
      <c r="AQ441" s="36"/>
      <c r="AR441" s="36"/>
      <c r="AS441" s="36"/>
      <c r="AT441" s="36"/>
      <c r="AU441" s="36"/>
      <c r="AV441" s="36"/>
      <c r="AW441" s="36"/>
      <c r="AX441" s="36"/>
      <c r="AY441" s="36"/>
      <c r="AZ441" s="36"/>
      <c r="BA441" s="36"/>
      <c r="GH441" s="55"/>
      <c r="KD441" s="15"/>
      <c r="KE441" s="51"/>
      <c r="KH441" s="15"/>
      <c r="KI441" s="15"/>
    </row>
    <row r="442" spans="3:295">
      <c r="C442" s="1"/>
      <c r="AE442" s="51"/>
      <c r="AO442" s="49"/>
      <c r="AQ442" s="36"/>
      <c r="AR442" s="36"/>
      <c r="AS442" s="36"/>
      <c r="AT442" s="36"/>
      <c r="AU442" s="36"/>
      <c r="AV442" s="36"/>
      <c r="AW442" s="36"/>
      <c r="AX442" s="36"/>
      <c r="AY442" s="36"/>
      <c r="AZ442" s="36"/>
      <c r="BA442" s="36"/>
      <c r="GH442" s="55"/>
      <c r="KD442" s="15"/>
      <c r="KE442" s="51"/>
      <c r="KH442" s="15"/>
      <c r="KI442" s="15"/>
    </row>
    <row r="443" spans="3:295">
      <c r="C443" s="1"/>
      <c r="AE443" s="51"/>
      <c r="AO443" s="49"/>
      <c r="AQ443" s="36"/>
      <c r="AR443" s="36"/>
      <c r="AS443" s="36"/>
      <c r="AT443" s="36"/>
      <c r="AU443" s="36"/>
      <c r="AV443" s="36"/>
      <c r="AW443" s="36"/>
      <c r="AX443" s="36"/>
      <c r="AY443" s="36"/>
      <c r="AZ443" s="36"/>
      <c r="BA443" s="36"/>
      <c r="GH443" s="55"/>
      <c r="KD443" s="15"/>
      <c r="KE443" s="51"/>
      <c r="KH443" s="15"/>
      <c r="KI443" s="15"/>
    </row>
    <row r="444" spans="3:295">
      <c r="C444" s="1"/>
      <c r="AE444" s="51"/>
      <c r="AO444" s="49"/>
      <c r="AQ444" s="36"/>
      <c r="AR444" s="36"/>
      <c r="AS444" s="36"/>
      <c r="AT444" s="36"/>
      <c r="AU444" s="36"/>
      <c r="AV444" s="36"/>
      <c r="AW444" s="36"/>
      <c r="AX444" s="36"/>
      <c r="AY444" s="36"/>
      <c r="AZ444" s="36"/>
      <c r="BA444" s="36"/>
      <c r="GH444" s="55"/>
      <c r="KD444" s="15"/>
      <c r="KE444" s="51"/>
      <c r="KH444" s="15"/>
      <c r="KI444" s="15"/>
    </row>
    <row r="445" spans="3:295">
      <c r="C445" s="1"/>
      <c r="AE445" s="51"/>
      <c r="AO445" s="49"/>
      <c r="AQ445" s="36"/>
      <c r="AR445" s="36"/>
      <c r="AS445" s="36"/>
      <c r="AT445" s="36"/>
      <c r="AU445" s="36"/>
      <c r="AV445" s="36"/>
      <c r="AW445" s="36"/>
      <c r="AX445" s="36"/>
      <c r="AY445" s="36"/>
      <c r="AZ445" s="36"/>
      <c r="BA445" s="36"/>
      <c r="GH445" s="55"/>
      <c r="KD445" s="15"/>
      <c r="KE445" s="51"/>
      <c r="KH445" s="15"/>
      <c r="KI445" s="15"/>
    </row>
    <row r="446" spans="3:295">
      <c r="C446" s="1"/>
      <c r="AE446" s="51"/>
      <c r="AO446" s="49"/>
      <c r="AQ446" s="36"/>
      <c r="AR446" s="36"/>
      <c r="AS446" s="36"/>
      <c r="AT446" s="36"/>
      <c r="AU446" s="36"/>
      <c r="AV446" s="36"/>
      <c r="AW446" s="36"/>
      <c r="AX446" s="36"/>
      <c r="AY446" s="36"/>
      <c r="AZ446" s="36"/>
      <c r="BA446" s="36"/>
      <c r="GH446" s="55"/>
      <c r="KD446" s="15"/>
      <c r="KE446" s="51"/>
      <c r="KH446" s="15"/>
      <c r="KI446" s="15"/>
    </row>
    <row r="447" spans="3:295">
      <c r="C447" s="1"/>
      <c r="AE447" s="51"/>
      <c r="AO447" s="49"/>
      <c r="AQ447" s="36"/>
      <c r="AR447" s="36"/>
      <c r="AS447" s="36"/>
      <c r="AT447" s="36"/>
      <c r="AU447" s="36"/>
      <c r="AV447" s="36"/>
      <c r="AW447" s="36"/>
      <c r="AX447" s="36"/>
      <c r="AY447" s="36"/>
      <c r="AZ447" s="36"/>
      <c r="BA447" s="36"/>
      <c r="GH447" s="55"/>
      <c r="KD447" s="15"/>
      <c r="KE447" s="51"/>
      <c r="KH447" s="15"/>
      <c r="KI447" s="15"/>
    </row>
    <row r="448" spans="3:295">
      <c r="C448" s="1"/>
      <c r="AE448" s="51"/>
      <c r="AO448" s="49"/>
      <c r="AQ448" s="36"/>
      <c r="AR448" s="36"/>
      <c r="AS448" s="36"/>
      <c r="AT448" s="36"/>
      <c r="AU448" s="36"/>
      <c r="AV448" s="36"/>
      <c r="AW448" s="36"/>
      <c r="AX448" s="36"/>
      <c r="AY448" s="36"/>
      <c r="AZ448" s="36"/>
      <c r="BA448" s="36"/>
      <c r="GH448" s="55"/>
      <c r="KD448" s="15"/>
      <c r="KE448" s="51"/>
      <c r="KH448" s="15"/>
      <c r="KI448" s="15"/>
    </row>
    <row r="449" spans="3:295">
      <c r="C449" s="1"/>
      <c r="AE449" s="51"/>
      <c r="AO449" s="49"/>
      <c r="AQ449" s="36"/>
      <c r="AR449" s="36"/>
      <c r="AS449" s="36"/>
      <c r="AT449" s="36"/>
      <c r="AU449" s="36"/>
      <c r="AV449" s="36"/>
      <c r="AW449" s="36"/>
      <c r="AX449" s="36"/>
      <c r="AY449" s="36"/>
      <c r="AZ449" s="36"/>
      <c r="BA449" s="36"/>
      <c r="GH449" s="55"/>
      <c r="KD449" s="15"/>
      <c r="KE449" s="51"/>
      <c r="KH449" s="15"/>
      <c r="KI449" s="15"/>
    </row>
    <row r="450" spans="3:295">
      <c r="C450" s="1"/>
      <c r="AE450" s="51"/>
      <c r="AO450" s="49"/>
      <c r="AQ450" s="36"/>
      <c r="AR450" s="36"/>
      <c r="AS450" s="36"/>
      <c r="AT450" s="36"/>
      <c r="AU450" s="36"/>
      <c r="AV450" s="36"/>
      <c r="AW450" s="36"/>
      <c r="AX450" s="36"/>
      <c r="AY450" s="36"/>
      <c r="AZ450" s="36"/>
      <c r="BA450" s="36"/>
      <c r="GH450" s="55"/>
      <c r="KD450" s="15"/>
      <c r="KE450" s="51"/>
      <c r="KH450" s="15"/>
      <c r="KI450" s="15"/>
    </row>
    <row r="451" spans="3:295">
      <c r="C451" s="1"/>
      <c r="AE451" s="51"/>
      <c r="AO451" s="49"/>
      <c r="AQ451" s="36"/>
      <c r="AR451" s="36"/>
      <c r="AS451" s="36"/>
      <c r="AT451" s="36"/>
      <c r="AU451" s="36"/>
      <c r="AV451" s="36"/>
      <c r="AW451" s="36"/>
      <c r="AX451" s="36"/>
      <c r="AY451" s="36"/>
      <c r="AZ451" s="36"/>
      <c r="BA451" s="36"/>
      <c r="GH451" s="55"/>
      <c r="KD451" s="15"/>
      <c r="KE451" s="51"/>
      <c r="KH451" s="15"/>
      <c r="KI451" s="15"/>
    </row>
    <row r="452" spans="3:295">
      <c r="C452" s="1"/>
      <c r="AE452" s="51"/>
      <c r="AO452" s="49"/>
      <c r="AQ452" s="36"/>
      <c r="AR452" s="36"/>
      <c r="AS452" s="36"/>
      <c r="AT452" s="36"/>
      <c r="AU452" s="36"/>
      <c r="AV452" s="36"/>
      <c r="AW452" s="36"/>
      <c r="AX452" s="36"/>
      <c r="AY452" s="36"/>
      <c r="AZ452" s="36"/>
      <c r="BA452" s="36"/>
      <c r="GH452" s="55"/>
      <c r="KD452" s="15"/>
      <c r="KE452" s="51"/>
      <c r="KH452" s="15"/>
      <c r="KI452" s="15"/>
    </row>
    <row r="453" spans="3:295">
      <c r="C453" s="1"/>
      <c r="AE453" s="51"/>
      <c r="AO453" s="49"/>
      <c r="AQ453" s="36"/>
      <c r="AR453" s="36"/>
      <c r="AS453" s="36"/>
      <c r="AT453" s="36"/>
      <c r="AU453" s="36"/>
      <c r="AV453" s="36"/>
      <c r="AW453" s="36"/>
      <c r="AX453" s="36"/>
      <c r="AY453" s="36"/>
      <c r="AZ453" s="36"/>
      <c r="BA453" s="36"/>
      <c r="GH453" s="55"/>
      <c r="KD453" s="15"/>
      <c r="KE453" s="51"/>
      <c r="KH453" s="15"/>
      <c r="KI453" s="15"/>
    </row>
    <row r="454" spans="3:295">
      <c r="C454" s="1"/>
      <c r="AE454" s="51"/>
      <c r="AO454" s="49"/>
      <c r="AQ454" s="36"/>
      <c r="AR454" s="36"/>
      <c r="AS454" s="36"/>
      <c r="AT454" s="36"/>
      <c r="AU454" s="36"/>
      <c r="AV454" s="36"/>
      <c r="AW454" s="36"/>
      <c r="AX454" s="36"/>
      <c r="AY454" s="36"/>
      <c r="AZ454" s="36"/>
      <c r="BA454" s="36"/>
      <c r="GH454" s="55"/>
      <c r="KD454" s="15"/>
      <c r="KE454" s="51"/>
      <c r="KH454" s="15"/>
      <c r="KI454" s="15"/>
    </row>
    <row r="455" spans="3:295">
      <c r="C455" s="1"/>
      <c r="AE455" s="51"/>
      <c r="AO455" s="49"/>
      <c r="AQ455" s="36"/>
      <c r="AR455" s="36"/>
      <c r="AS455" s="36"/>
      <c r="AT455" s="36"/>
      <c r="AU455" s="36"/>
      <c r="AV455" s="36"/>
      <c r="AW455" s="36"/>
      <c r="AX455" s="36"/>
      <c r="AY455" s="36"/>
      <c r="AZ455" s="36"/>
      <c r="BA455" s="36"/>
      <c r="GH455" s="55"/>
      <c r="KD455" s="15"/>
      <c r="KE455" s="51"/>
      <c r="KH455" s="15"/>
      <c r="KI455" s="15"/>
    </row>
    <row r="456" spans="3:295">
      <c r="C456" s="1"/>
      <c r="AE456" s="51"/>
      <c r="AO456" s="49"/>
      <c r="AQ456" s="36"/>
      <c r="AR456" s="36"/>
      <c r="AS456" s="36"/>
      <c r="AT456" s="36"/>
      <c r="AU456" s="36"/>
      <c r="AV456" s="36"/>
      <c r="AW456" s="36"/>
      <c r="AX456" s="36"/>
      <c r="AY456" s="36"/>
      <c r="AZ456" s="36"/>
      <c r="BA456" s="36"/>
      <c r="GH456" s="55"/>
      <c r="KD456" s="15"/>
      <c r="KE456" s="51"/>
      <c r="KH456" s="15"/>
      <c r="KI456" s="15"/>
    </row>
    <row r="457" spans="3:295">
      <c r="C457" s="1"/>
      <c r="AE457" s="51"/>
      <c r="AO457" s="49"/>
      <c r="AQ457" s="36"/>
      <c r="AR457" s="36"/>
      <c r="AS457" s="36"/>
      <c r="AT457" s="36"/>
      <c r="AU457" s="36"/>
      <c r="AV457" s="36"/>
      <c r="AW457" s="36"/>
      <c r="AX457" s="36"/>
      <c r="AY457" s="36"/>
      <c r="AZ457" s="36"/>
      <c r="BA457" s="36"/>
      <c r="GH457" s="55"/>
      <c r="KD457" s="15"/>
      <c r="KE457" s="51"/>
      <c r="KH457" s="15"/>
      <c r="KI457" s="15"/>
    </row>
    <row r="458" spans="3:295">
      <c r="C458" s="1"/>
      <c r="AE458" s="51"/>
      <c r="AO458" s="49"/>
      <c r="AQ458" s="36"/>
      <c r="AR458" s="36"/>
      <c r="AS458" s="36"/>
      <c r="AT458" s="36"/>
      <c r="AU458" s="36"/>
      <c r="AV458" s="36"/>
      <c r="AW458" s="36"/>
      <c r="AX458" s="36"/>
      <c r="AY458" s="36"/>
      <c r="AZ458" s="36"/>
      <c r="BA458" s="36"/>
      <c r="GH458" s="55"/>
      <c r="KD458" s="15"/>
      <c r="KE458" s="51"/>
      <c r="KH458" s="15"/>
      <c r="KI458" s="15"/>
    </row>
    <row r="459" spans="3:295">
      <c r="C459" s="1"/>
      <c r="AE459" s="51"/>
      <c r="AO459" s="49"/>
      <c r="AQ459" s="36"/>
      <c r="AR459" s="36"/>
      <c r="AS459" s="36"/>
      <c r="AT459" s="36"/>
      <c r="AU459" s="36"/>
      <c r="AV459" s="36"/>
      <c r="AW459" s="36"/>
      <c r="AX459" s="36"/>
      <c r="AY459" s="36"/>
      <c r="AZ459" s="36"/>
      <c r="BA459" s="36"/>
      <c r="GH459" s="55"/>
      <c r="KD459" s="15"/>
      <c r="KE459" s="51"/>
      <c r="KH459" s="15"/>
      <c r="KI459" s="15"/>
    </row>
    <row r="460" spans="3:295">
      <c r="C460" s="1"/>
      <c r="AE460" s="51"/>
      <c r="AO460" s="49"/>
      <c r="AQ460" s="36"/>
      <c r="AR460" s="36"/>
      <c r="AS460" s="36"/>
      <c r="AT460" s="36"/>
      <c r="AU460" s="36"/>
      <c r="AV460" s="36"/>
      <c r="AW460" s="36"/>
      <c r="AX460" s="36"/>
      <c r="AY460" s="36"/>
      <c r="AZ460" s="36"/>
      <c r="BA460" s="36"/>
      <c r="GH460" s="55"/>
      <c r="KD460" s="15"/>
      <c r="KE460" s="51"/>
      <c r="KH460" s="15"/>
      <c r="KI460" s="15"/>
    </row>
    <row r="461" spans="3:295">
      <c r="C461" s="1"/>
      <c r="AE461" s="51"/>
      <c r="AO461" s="49"/>
      <c r="AQ461" s="36"/>
      <c r="AR461" s="36"/>
      <c r="AS461" s="36"/>
      <c r="AT461" s="36"/>
      <c r="AU461" s="36"/>
      <c r="AV461" s="36"/>
      <c r="AW461" s="36"/>
      <c r="AX461" s="36"/>
      <c r="AY461" s="36"/>
      <c r="AZ461" s="36"/>
      <c r="BA461" s="36"/>
      <c r="GH461" s="55"/>
      <c r="KD461" s="15"/>
      <c r="KE461" s="51"/>
      <c r="KH461" s="15"/>
      <c r="KI461" s="15"/>
    </row>
    <row r="462" spans="3:295">
      <c r="C462" s="1"/>
      <c r="AE462" s="51"/>
      <c r="AO462" s="49"/>
      <c r="AQ462" s="36"/>
      <c r="AR462" s="36"/>
      <c r="AS462" s="36"/>
      <c r="AT462" s="36"/>
      <c r="AU462" s="36"/>
      <c r="AV462" s="36"/>
      <c r="AW462" s="36"/>
      <c r="AX462" s="36"/>
      <c r="AY462" s="36"/>
      <c r="AZ462" s="36"/>
      <c r="BA462" s="36"/>
      <c r="GH462" s="55"/>
      <c r="KD462" s="15"/>
      <c r="KE462" s="51"/>
      <c r="KH462" s="15"/>
      <c r="KI462" s="15"/>
    </row>
    <row r="463" spans="3:295">
      <c r="C463" s="1"/>
      <c r="AE463" s="51"/>
      <c r="AO463" s="49"/>
      <c r="AQ463" s="36"/>
      <c r="AR463" s="36"/>
      <c r="AS463" s="36"/>
      <c r="AT463" s="36"/>
      <c r="AU463" s="36"/>
      <c r="AV463" s="36"/>
      <c r="AW463" s="36"/>
      <c r="AX463" s="36"/>
      <c r="AY463" s="36"/>
      <c r="AZ463" s="36"/>
      <c r="BA463" s="36"/>
      <c r="GH463" s="55"/>
      <c r="KD463" s="15"/>
      <c r="KE463" s="51"/>
      <c r="KH463" s="15"/>
      <c r="KI463" s="15"/>
    </row>
    <row r="464" spans="3:295">
      <c r="C464" s="1"/>
      <c r="AE464" s="51"/>
      <c r="AO464" s="49"/>
      <c r="AQ464" s="36"/>
      <c r="AR464" s="36"/>
      <c r="AS464" s="36"/>
      <c r="AT464" s="36"/>
      <c r="AU464" s="36"/>
      <c r="AV464" s="36"/>
      <c r="AW464" s="36"/>
      <c r="AX464" s="36"/>
      <c r="AY464" s="36"/>
      <c r="AZ464" s="36"/>
      <c r="BA464" s="36"/>
      <c r="GH464" s="55"/>
      <c r="KD464" s="15"/>
      <c r="KE464" s="51"/>
      <c r="KH464" s="15"/>
      <c r="KI464" s="15"/>
    </row>
    <row r="465" spans="3:295">
      <c r="C465" s="1"/>
      <c r="AE465" s="51"/>
      <c r="AO465" s="49"/>
      <c r="AQ465" s="36"/>
      <c r="AR465" s="36"/>
      <c r="AS465" s="36"/>
      <c r="AT465" s="36"/>
      <c r="AU465" s="36"/>
      <c r="AV465" s="36"/>
      <c r="AW465" s="36"/>
      <c r="AX465" s="36"/>
      <c r="AY465" s="36"/>
      <c r="AZ465" s="36"/>
      <c r="BA465" s="36"/>
      <c r="GH465" s="55"/>
      <c r="KD465" s="15"/>
      <c r="KE465" s="51"/>
      <c r="KH465" s="15"/>
      <c r="KI465" s="15"/>
    </row>
    <row r="466" spans="3:295">
      <c r="C466" s="1"/>
      <c r="AE466" s="51"/>
      <c r="AO466" s="49"/>
      <c r="AQ466" s="36"/>
      <c r="AR466" s="36"/>
      <c r="AS466" s="36"/>
      <c r="AT466" s="36"/>
      <c r="AU466" s="36"/>
      <c r="AV466" s="36"/>
      <c r="AW466" s="36"/>
      <c r="AX466" s="36"/>
      <c r="AY466" s="36"/>
      <c r="AZ466" s="36"/>
      <c r="BA466" s="36"/>
      <c r="GH466" s="55"/>
      <c r="KD466" s="15"/>
      <c r="KE466" s="51"/>
      <c r="KH466" s="15"/>
      <c r="KI466" s="15"/>
    </row>
    <row r="467" spans="3:295">
      <c r="C467" s="1"/>
      <c r="AE467" s="51"/>
      <c r="AO467" s="49"/>
      <c r="AQ467" s="36"/>
      <c r="AR467" s="36"/>
      <c r="AS467" s="36"/>
      <c r="AT467" s="36"/>
      <c r="AU467" s="36"/>
      <c r="AV467" s="36"/>
      <c r="AW467" s="36"/>
      <c r="AX467" s="36"/>
      <c r="AY467" s="36"/>
      <c r="AZ467" s="36"/>
      <c r="BA467" s="36"/>
      <c r="GH467" s="55"/>
      <c r="KD467" s="15"/>
      <c r="KE467" s="51"/>
      <c r="KH467" s="15"/>
      <c r="KI467" s="15"/>
    </row>
    <row r="468" spans="3:295">
      <c r="C468" s="1"/>
      <c r="AE468" s="51"/>
      <c r="AO468" s="49"/>
      <c r="AQ468" s="36"/>
      <c r="AR468" s="36"/>
      <c r="AS468" s="36"/>
      <c r="AT468" s="36"/>
      <c r="AU468" s="36"/>
      <c r="AV468" s="36"/>
      <c r="AW468" s="36"/>
      <c r="AX468" s="36"/>
      <c r="AY468" s="36"/>
      <c r="AZ468" s="36"/>
      <c r="BA468" s="36"/>
      <c r="GH468" s="55"/>
      <c r="KD468" s="15"/>
      <c r="KE468" s="51"/>
      <c r="KH468" s="15"/>
      <c r="KI468" s="15"/>
    </row>
    <row r="469" spans="3:295">
      <c r="C469" s="1"/>
      <c r="AE469" s="51"/>
      <c r="AO469" s="49"/>
      <c r="AQ469" s="36"/>
      <c r="AR469" s="36"/>
      <c r="AS469" s="36"/>
      <c r="AT469" s="36"/>
      <c r="AU469" s="36"/>
      <c r="AV469" s="36"/>
      <c r="AW469" s="36"/>
      <c r="AX469" s="36"/>
      <c r="AY469" s="36"/>
      <c r="AZ469" s="36"/>
      <c r="BA469" s="36"/>
      <c r="GH469" s="55"/>
      <c r="KD469" s="15"/>
      <c r="KE469" s="51"/>
      <c r="KH469" s="15"/>
      <c r="KI469" s="15"/>
    </row>
    <row r="470" spans="3:295">
      <c r="C470" s="1"/>
      <c r="AE470" s="51"/>
      <c r="AO470" s="49"/>
      <c r="AQ470" s="36"/>
      <c r="AR470" s="36"/>
      <c r="AS470" s="36"/>
      <c r="AT470" s="36"/>
      <c r="AU470" s="36"/>
      <c r="AV470" s="36"/>
      <c r="AW470" s="36"/>
      <c r="AX470" s="36"/>
      <c r="AY470" s="36"/>
      <c r="AZ470" s="36"/>
      <c r="BA470" s="36"/>
      <c r="GH470" s="55"/>
      <c r="KD470" s="15"/>
      <c r="KE470" s="51"/>
      <c r="KH470" s="15"/>
      <c r="KI470" s="15"/>
    </row>
    <row r="471" spans="3:295">
      <c r="C471" s="1"/>
      <c r="AE471" s="51"/>
      <c r="AO471" s="49"/>
      <c r="AQ471" s="36"/>
      <c r="AR471" s="36"/>
      <c r="AS471" s="36"/>
      <c r="AT471" s="36"/>
      <c r="AU471" s="36"/>
      <c r="AV471" s="36"/>
      <c r="AW471" s="36"/>
      <c r="AX471" s="36"/>
      <c r="AY471" s="36"/>
      <c r="AZ471" s="36"/>
      <c r="BA471" s="36"/>
      <c r="GH471" s="55"/>
      <c r="KD471" s="15"/>
      <c r="KE471" s="51"/>
      <c r="KH471" s="15"/>
      <c r="KI471" s="15"/>
    </row>
    <row r="472" spans="3:295">
      <c r="C472" s="1"/>
      <c r="AE472" s="51"/>
      <c r="AO472" s="49"/>
      <c r="AQ472" s="36"/>
      <c r="AR472" s="36"/>
      <c r="AS472" s="36"/>
      <c r="AT472" s="36"/>
      <c r="AU472" s="36"/>
      <c r="AV472" s="36"/>
      <c r="AW472" s="36"/>
      <c r="AX472" s="36"/>
      <c r="AY472" s="36"/>
      <c r="AZ472" s="36"/>
      <c r="BA472" s="36"/>
      <c r="GH472" s="55"/>
      <c r="KD472" s="15"/>
      <c r="KE472" s="51"/>
      <c r="KH472" s="15"/>
      <c r="KI472" s="15"/>
    </row>
    <row r="473" spans="3:295">
      <c r="C473" s="1"/>
      <c r="AE473" s="51"/>
      <c r="AO473" s="49"/>
      <c r="AQ473" s="36"/>
      <c r="AR473" s="36"/>
      <c r="AS473" s="36"/>
      <c r="AT473" s="36"/>
      <c r="AU473" s="36"/>
      <c r="AV473" s="36"/>
      <c r="AW473" s="36"/>
      <c r="AX473" s="36"/>
      <c r="AY473" s="36"/>
      <c r="AZ473" s="36"/>
      <c r="BA473" s="36"/>
      <c r="GH473" s="55"/>
      <c r="KD473" s="15"/>
      <c r="KE473" s="51"/>
      <c r="KH473" s="15"/>
      <c r="KI473" s="15"/>
    </row>
    <row r="474" spans="3:295">
      <c r="C474" s="1"/>
      <c r="AE474" s="51"/>
      <c r="AO474" s="49"/>
      <c r="AQ474" s="36"/>
      <c r="AR474" s="36"/>
      <c r="AS474" s="36"/>
      <c r="AT474" s="36"/>
      <c r="AU474" s="36"/>
      <c r="AV474" s="36"/>
      <c r="AW474" s="36"/>
      <c r="AX474" s="36"/>
      <c r="AY474" s="36"/>
      <c r="AZ474" s="36"/>
      <c r="BA474" s="36"/>
      <c r="GH474" s="55"/>
      <c r="KD474" s="15"/>
      <c r="KE474" s="51"/>
      <c r="KH474" s="15"/>
      <c r="KI474" s="15"/>
    </row>
    <row r="475" spans="3:295">
      <c r="C475" s="1"/>
      <c r="AE475" s="51"/>
      <c r="AO475" s="49"/>
      <c r="AQ475" s="36"/>
      <c r="AR475" s="36"/>
      <c r="AS475" s="36"/>
      <c r="AT475" s="36"/>
      <c r="AU475" s="36"/>
      <c r="AV475" s="36"/>
      <c r="AW475" s="36"/>
      <c r="AX475" s="36"/>
      <c r="AY475" s="36"/>
      <c r="AZ475" s="36"/>
      <c r="BA475" s="36"/>
      <c r="GH475" s="55"/>
      <c r="KD475" s="15"/>
      <c r="KE475" s="51"/>
      <c r="KH475" s="15"/>
      <c r="KI475" s="15"/>
    </row>
    <row r="476" spans="3:295">
      <c r="C476" s="1"/>
      <c r="AE476" s="51"/>
      <c r="AO476" s="49"/>
      <c r="AQ476" s="36"/>
      <c r="AR476" s="36"/>
      <c r="AS476" s="36"/>
      <c r="AT476" s="36"/>
      <c r="AU476" s="36"/>
      <c r="AV476" s="36"/>
      <c r="AW476" s="36"/>
      <c r="AX476" s="36"/>
      <c r="AY476" s="36"/>
      <c r="AZ476" s="36"/>
      <c r="BA476" s="36"/>
      <c r="GH476" s="55"/>
      <c r="KD476" s="15"/>
      <c r="KE476" s="51"/>
      <c r="KH476" s="15"/>
      <c r="KI476" s="15"/>
    </row>
    <row r="477" spans="3:295">
      <c r="C477" s="1"/>
      <c r="AE477" s="51"/>
      <c r="AO477" s="49"/>
      <c r="AQ477" s="36"/>
      <c r="AR477" s="36"/>
      <c r="AS477" s="36"/>
      <c r="AT477" s="36"/>
      <c r="AU477" s="36"/>
      <c r="AV477" s="36"/>
      <c r="AW477" s="36"/>
      <c r="AX477" s="36"/>
      <c r="AY477" s="36"/>
      <c r="AZ477" s="36"/>
      <c r="BA477" s="36"/>
      <c r="GH477" s="55"/>
      <c r="KD477" s="15"/>
      <c r="KE477" s="51"/>
      <c r="KH477" s="15"/>
      <c r="KI477" s="15"/>
    </row>
    <row r="478" spans="3:295">
      <c r="C478" s="1"/>
      <c r="AE478" s="51"/>
      <c r="AO478" s="49"/>
      <c r="AQ478" s="36"/>
      <c r="AR478" s="36"/>
      <c r="AS478" s="36"/>
      <c r="AT478" s="36"/>
      <c r="AU478" s="36"/>
      <c r="AV478" s="36"/>
      <c r="AW478" s="36"/>
      <c r="AX478" s="36"/>
      <c r="AY478" s="36"/>
      <c r="AZ478" s="36"/>
      <c r="BA478" s="36"/>
      <c r="GH478" s="55"/>
      <c r="KD478" s="15"/>
      <c r="KE478" s="51"/>
      <c r="KH478" s="15"/>
      <c r="KI478" s="15"/>
    </row>
    <row r="479" spans="3:295">
      <c r="C479" s="1"/>
      <c r="AE479" s="51"/>
      <c r="AO479" s="49"/>
      <c r="AQ479" s="36"/>
      <c r="AR479" s="36"/>
      <c r="AS479" s="36"/>
      <c r="AT479" s="36"/>
      <c r="AU479" s="36"/>
      <c r="AV479" s="36"/>
      <c r="AW479" s="36"/>
      <c r="AX479" s="36"/>
      <c r="AY479" s="36"/>
      <c r="AZ479" s="36"/>
      <c r="BA479" s="36"/>
      <c r="GH479" s="55"/>
      <c r="KD479" s="15"/>
      <c r="KE479" s="51"/>
      <c r="KH479" s="15"/>
      <c r="KI479" s="15"/>
    </row>
    <row r="480" spans="3:295">
      <c r="C480" s="1"/>
      <c r="AE480" s="51"/>
      <c r="AO480" s="49"/>
      <c r="AQ480" s="36"/>
      <c r="AR480" s="36"/>
      <c r="AS480" s="36"/>
      <c r="AT480" s="36"/>
      <c r="AU480" s="36"/>
      <c r="AV480" s="36"/>
      <c r="AW480" s="36"/>
      <c r="AX480" s="36"/>
      <c r="AY480" s="36"/>
      <c r="AZ480" s="36"/>
      <c r="BA480" s="36"/>
      <c r="GH480" s="55"/>
      <c r="KD480" s="15"/>
      <c r="KE480" s="51"/>
      <c r="KH480" s="15"/>
      <c r="KI480" s="15"/>
    </row>
    <row r="481" spans="3:295">
      <c r="C481" s="1"/>
      <c r="AE481" s="51"/>
      <c r="AO481" s="49"/>
      <c r="AQ481" s="36"/>
      <c r="AR481" s="36"/>
      <c r="AS481" s="36"/>
      <c r="AT481" s="36"/>
      <c r="AU481" s="36"/>
      <c r="AV481" s="36"/>
      <c r="AW481" s="36"/>
      <c r="AX481" s="36"/>
      <c r="AY481" s="36"/>
      <c r="AZ481" s="36"/>
      <c r="BA481" s="36"/>
      <c r="GH481" s="55"/>
      <c r="KD481" s="15"/>
      <c r="KE481" s="51"/>
      <c r="KH481" s="15"/>
      <c r="KI481" s="15"/>
    </row>
    <row r="482" spans="3:295">
      <c r="C482" s="1"/>
      <c r="AE482" s="51"/>
      <c r="AO482" s="49"/>
      <c r="AQ482" s="36"/>
      <c r="AR482" s="36"/>
      <c r="AS482" s="36"/>
      <c r="AT482" s="36"/>
      <c r="AU482" s="36"/>
      <c r="AV482" s="36"/>
      <c r="AW482" s="36"/>
      <c r="AX482" s="36"/>
      <c r="AY482" s="36"/>
      <c r="AZ482" s="36"/>
      <c r="BA482" s="36"/>
      <c r="GH482" s="55"/>
      <c r="KD482" s="15"/>
      <c r="KE482" s="51"/>
      <c r="KH482" s="15"/>
      <c r="KI482" s="15"/>
    </row>
    <row r="483" spans="3:295">
      <c r="C483" s="1"/>
      <c r="AE483" s="51"/>
      <c r="AO483" s="49"/>
      <c r="AQ483" s="36"/>
      <c r="AR483" s="36"/>
      <c r="AS483" s="36"/>
      <c r="AT483" s="36"/>
      <c r="AU483" s="36"/>
      <c r="AV483" s="36"/>
      <c r="AW483" s="36"/>
      <c r="AX483" s="36"/>
      <c r="AY483" s="36"/>
      <c r="AZ483" s="36"/>
      <c r="BA483" s="36"/>
      <c r="GH483" s="55"/>
      <c r="KD483" s="15"/>
      <c r="KE483" s="51"/>
      <c r="KH483" s="15"/>
      <c r="KI483" s="15"/>
    </row>
    <row r="484" spans="3:295">
      <c r="C484" s="1"/>
      <c r="AE484" s="51"/>
      <c r="AO484" s="49"/>
      <c r="AQ484" s="36"/>
      <c r="AR484" s="36"/>
      <c r="AS484" s="36"/>
      <c r="AT484" s="36"/>
      <c r="AU484" s="36"/>
      <c r="AV484" s="36"/>
      <c r="AW484" s="36"/>
      <c r="AX484" s="36"/>
      <c r="AY484" s="36"/>
      <c r="AZ484" s="36"/>
      <c r="BA484" s="36"/>
      <c r="GH484" s="55"/>
      <c r="KD484" s="15"/>
      <c r="KE484" s="51"/>
      <c r="KH484" s="15"/>
      <c r="KI484" s="15"/>
    </row>
    <row r="485" spans="3:295">
      <c r="C485" s="1"/>
      <c r="AE485" s="51"/>
      <c r="AO485" s="49"/>
      <c r="AQ485" s="36"/>
      <c r="AR485" s="36"/>
      <c r="AS485" s="36"/>
      <c r="AT485" s="36"/>
      <c r="AU485" s="36"/>
      <c r="AV485" s="36"/>
      <c r="AW485" s="36"/>
      <c r="AX485" s="36"/>
      <c r="AY485" s="36"/>
      <c r="AZ485" s="36"/>
      <c r="BA485" s="36"/>
      <c r="GH485" s="55"/>
      <c r="KD485" s="15"/>
      <c r="KE485" s="51"/>
      <c r="KH485" s="15"/>
      <c r="KI485" s="15"/>
    </row>
    <row r="486" spans="3:295">
      <c r="C486" s="1"/>
      <c r="AE486" s="51"/>
      <c r="AO486" s="49"/>
      <c r="AQ486" s="36"/>
      <c r="AR486" s="36"/>
      <c r="AS486" s="36"/>
      <c r="AT486" s="36"/>
      <c r="AU486" s="36"/>
      <c r="AV486" s="36"/>
      <c r="AW486" s="36"/>
      <c r="AX486" s="36"/>
      <c r="AY486" s="36"/>
      <c r="AZ486" s="36"/>
      <c r="BA486" s="36"/>
      <c r="GH486" s="55"/>
      <c r="KD486" s="15"/>
      <c r="KE486" s="51"/>
      <c r="KH486" s="15"/>
      <c r="KI486" s="15"/>
    </row>
    <row r="487" spans="3:295">
      <c r="C487" s="1"/>
      <c r="AE487" s="51"/>
      <c r="AO487" s="49"/>
      <c r="AQ487" s="36"/>
      <c r="AR487" s="36"/>
      <c r="AS487" s="36"/>
      <c r="AT487" s="36"/>
      <c r="AU487" s="36"/>
      <c r="AV487" s="36"/>
      <c r="AW487" s="36"/>
      <c r="AX487" s="36"/>
      <c r="AY487" s="36"/>
      <c r="AZ487" s="36"/>
      <c r="BA487" s="36"/>
      <c r="GH487" s="55"/>
      <c r="KD487" s="15"/>
      <c r="KE487" s="51"/>
      <c r="KH487" s="15"/>
      <c r="KI487" s="15"/>
    </row>
    <row r="488" spans="3:295">
      <c r="C488" s="1"/>
      <c r="AE488" s="51"/>
      <c r="AO488" s="49"/>
      <c r="AQ488" s="36"/>
      <c r="AR488" s="36"/>
      <c r="AS488" s="36"/>
      <c r="AT488" s="36"/>
      <c r="AU488" s="36"/>
      <c r="AV488" s="36"/>
      <c r="AW488" s="36"/>
      <c r="AX488" s="36"/>
      <c r="AY488" s="36"/>
      <c r="AZ488" s="36"/>
      <c r="BA488" s="36"/>
      <c r="GH488" s="55"/>
      <c r="KD488" s="15"/>
      <c r="KE488" s="51"/>
      <c r="KH488" s="15"/>
      <c r="KI488" s="15"/>
    </row>
    <row r="489" spans="3:295">
      <c r="C489" s="1"/>
      <c r="AE489" s="51"/>
      <c r="AO489" s="49"/>
      <c r="AQ489" s="36"/>
      <c r="AR489" s="36"/>
      <c r="AS489" s="36"/>
      <c r="AT489" s="36"/>
      <c r="AU489" s="36"/>
      <c r="AV489" s="36"/>
      <c r="AW489" s="36"/>
      <c r="AX489" s="36"/>
      <c r="AY489" s="36"/>
      <c r="AZ489" s="36"/>
      <c r="BA489" s="36"/>
      <c r="GH489" s="55"/>
      <c r="KD489" s="15"/>
      <c r="KE489" s="51"/>
      <c r="KH489" s="15"/>
      <c r="KI489" s="15"/>
    </row>
    <row r="490" spans="3:295">
      <c r="C490" s="1"/>
      <c r="AE490" s="51"/>
      <c r="AO490" s="49"/>
      <c r="AQ490" s="36"/>
      <c r="AR490" s="36"/>
      <c r="AS490" s="36"/>
      <c r="AT490" s="36"/>
      <c r="AU490" s="36"/>
      <c r="AV490" s="36"/>
      <c r="AW490" s="36"/>
      <c r="AX490" s="36"/>
      <c r="AY490" s="36"/>
      <c r="AZ490" s="36"/>
      <c r="BA490" s="36"/>
      <c r="GH490" s="55"/>
      <c r="KD490" s="15"/>
      <c r="KE490" s="51"/>
      <c r="KH490" s="15"/>
      <c r="KI490" s="15"/>
    </row>
    <row r="491" spans="3:295">
      <c r="C491" s="1"/>
      <c r="AE491" s="51"/>
      <c r="AO491" s="49"/>
      <c r="AQ491" s="36"/>
      <c r="AR491" s="36"/>
      <c r="AS491" s="36"/>
      <c r="AT491" s="36"/>
      <c r="AU491" s="36"/>
      <c r="AV491" s="36"/>
      <c r="AW491" s="36"/>
      <c r="AX491" s="36"/>
      <c r="AY491" s="36"/>
      <c r="AZ491" s="36"/>
      <c r="BA491" s="36"/>
      <c r="GH491" s="55"/>
      <c r="KD491" s="15"/>
      <c r="KE491" s="51"/>
      <c r="KH491" s="15"/>
      <c r="KI491" s="15"/>
    </row>
    <row r="492" spans="3:295">
      <c r="C492" s="1"/>
      <c r="AE492" s="51"/>
      <c r="AO492" s="49"/>
      <c r="AQ492" s="36"/>
      <c r="AR492" s="36"/>
      <c r="AS492" s="36"/>
      <c r="AT492" s="36"/>
      <c r="AU492" s="36"/>
      <c r="AV492" s="36"/>
      <c r="AW492" s="36"/>
      <c r="AX492" s="36"/>
      <c r="AY492" s="36"/>
      <c r="AZ492" s="36"/>
      <c r="BA492" s="36"/>
      <c r="GH492" s="55"/>
      <c r="KD492" s="15"/>
      <c r="KE492" s="51"/>
      <c r="KH492" s="15"/>
      <c r="KI492" s="15"/>
    </row>
    <row r="493" spans="3:295">
      <c r="C493" s="1"/>
      <c r="AE493" s="51"/>
      <c r="AO493" s="49"/>
      <c r="AQ493" s="36"/>
      <c r="AR493" s="36"/>
      <c r="AS493" s="36"/>
      <c r="AT493" s="36"/>
      <c r="AU493" s="36"/>
      <c r="AV493" s="36"/>
      <c r="AW493" s="36"/>
      <c r="AX493" s="36"/>
      <c r="AY493" s="36"/>
      <c r="AZ493" s="36"/>
      <c r="BA493" s="36"/>
      <c r="GH493" s="55"/>
      <c r="KD493" s="15"/>
      <c r="KE493" s="51"/>
      <c r="KH493" s="15"/>
      <c r="KI493" s="15"/>
    </row>
    <row r="494" spans="3:295">
      <c r="C494" s="1"/>
      <c r="AE494" s="51"/>
      <c r="AO494" s="49"/>
      <c r="AQ494" s="36"/>
      <c r="AR494" s="36"/>
      <c r="AS494" s="36"/>
      <c r="AT494" s="36"/>
      <c r="AU494" s="36"/>
      <c r="AV494" s="36"/>
      <c r="AW494" s="36"/>
      <c r="AX494" s="36"/>
      <c r="AY494" s="36"/>
      <c r="AZ494" s="36"/>
      <c r="BA494" s="36"/>
      <c r="GH494" s="55"/>
      <c r="KD494" s="15"/>
      <c r="KE494" s="51"/>
      <c r="KH494" s="15"/>
      <c r="KI494" s="15"/>
    </row>
    <row r="495" spans="3:295">
      <c r="C495" s="1"/>
      <c r="AE495" s="51"/>
      <c r="AO495" s="49"/>
      <c r="AQ495" s="36"/>
      <c r="AR495" s="36"/>
      <c r="AS495" s="36"/>
      <c r="AT495" s="36"/>
      <c r="AU495" s="36"/>
      <c r="AV495" s="36"/>
      <c r="AW495" s="36"/>
      <c r="AX495" s="36"/>
      <c r="AY495" s="36"/>
      <c r="AZ495" s="36"/>
      <c r="BA495" s="36"/>
      <c r="GH495" s="55"/>
      <c r="KD495" s="15"/>
      <c r="KE495" s="51"/>
      <c r="KH495" s="15"/>
      <c r="KI495" s="15"/>
    </row>
    <row r="496" spans="3:295">
      <c r="C496" s="1"/>
      <c r="AE496" s="51"/>
      <c r="AO496" s="49"/>
      <c r="AQ496" s="36"/>
      <c r="AR496" s="36"/>
      <c r="AS496" s="36"/>
      <c r="AT496" s="36"/>
      <c r="AU496" s="36"/>
      <c r="AV496" s="36"/>
      <c r="AW496" s="36"/>
      <c r="AX496" s="36"/>
      <c r="AY496" s="36"/>
      <c r="AZ496" s="36"/>
      <c r="BA496" s="36"/>
      <c r="GH496" s="55"/>
      <c r="KD496" s="15"/>
      <c r="KE496" s="51"/>
      <c r="KH496" s="15"/>
      <c r="KI496" s="15"/>
    </row>
    <row r="497" spans="3:295">
      <c r="C497" s="1"/>
      <c r="AE497" s="51"/>
      <c r="AO497" s="49"/>
      <c r="AQ497" s="36"/>
      <c r="AR497" s="36"/>
      <c r="AS497" s="36"/>
      <c r="AT497" s="36"/>
      <c r="AU497" s="36"/>
      <c r="AV497" s="36"/>
      <c r="AW497" s="36"/>
      <c r="AX497" s="36"/>
      <c r="AY497" s="36"/>
      <c r="AZ497" s="36"/>
      <c r="BA497" s="36"/>
      <c r="GH497" s="55"/>
      <c r="KD497" s="15"/>
      <c r="KE497" s="51"/>
      <c r="KH497" s="15"/>
      <c r="KI497" s="15"/>
    </row>
    <row r="498" spans="3:295">
      <c r="C498" s="1"/>
      <c r="AE498" s="51"/>
      <c r="AO498" s="49"/>
      <c r="AQ498" s="36"/>
      <c r="AR498" s="36"/>
      <c r="AS498" s="36"/>
      <c r="AT498" s="36"/>
      <c r="AU498" s="36"/>
      <c r="AV498" s="36"/>
      <c r="AW498" s="36"/>
      <c r="AX498" s="36"/>
      <c r="AY498" s="36"/>
      <c r="AZ498" s="36"/>
      <c r="BA498" s="36"/>
      <c r="GH498" s="55"/>
      <c r="KD498" s="15"/>
      <c r="KE498" s="51"/>
      <c r="KH498" s="15"/>
      <c r="KI498" s="15"/>
    </row>
    <row r="499" spans="3:295">
      <c r="C499" s="1"/>
      <c r="AE499" s="51"/>
      <c r="AO499" s="49"/>
      <c r="AQ499" s="36"/>
      <c r="AR499" s="36"/>
      <c r="AS499" s="36"/>
      <c r="AT499" s="36"/>
      <c r="AU499" s="36"/>
      <c r="AV499" s="36"/>
      <c r="AW499" s="36"/>
      <c r="AX499" s="36"/>
      <c r="AY499" s="36"/>
      <c r="AZ499" s="36"/>
      <c r="BA499" s="36"/>
      <c r="GH499" s="55"/>
      <c r="KD499" s="15"/>
      <c r="KE499" s="51"/>
      <c r="KH499" s="15"/>
      <c r="KI499" s="15"/>
    </row>
    <row r="500" spans="3:295">
      <c r="C500" s="1"/>
      <c r="AE500" s="51"/>
      <c r="AO500" s="49"/>
      <c r="AQ500" s="36"/>
      <c r="AR500" s="36"/>
      <c r="AS500" s="36"/>
      <c r="AT500" s="36"/>
      <c r="AU500" s="36"/>
      <c r="AV500" s="36"/>
      <c r="AW500" s="36"/>
      <c r="AX500" s="36"/>
      <c r="AY500" s="36"/>
      <c r="AZ500" s="36"/>
      <c r="BA500" s="36"/>
      <c r="GH500" s="55"/>
      <c r="KD500" s="15"/>
      <c r="KE500" s="51"/>
      <c r="KH500" s="15"/>
      <c r="KI500" s="15"/>
    </row>
    <row r="501" spans="3:295">
      <c r="C501" s="1"/>
      <c r="AE501" s="51"/>
      <c r="AO501" s="49"/>
      <c r="AQ501" s="36"/>
      <c r="AR501" s="36"/>
      <c r="AS501" s="36"/>
      <c r="AT501" s="36"/>
      <c r="AU501" s="36"/>
      <c r="AV501" s="36"/>
      <c r="AW501" s="36"/>
      <c r="AX501" s="36"/>
      <c r="AY501" s="36"/>
      <c r="AZ501" s="36"/>
      <c r="BA501" s="36"/>
      <c r="GH501" s="55"/>
      <c r="KD501" s="15"/>
      <c r="KE501" s="51"/>
      <c r="KH501" s="15"/>
      <c r="KI501" s="15"/>
    </row>
    <row r="502" spans="3:295">
      <c r="C502" s="1"/>
      <c r="AE502" s="51"/>
      <c r="AO502" s="49"/>
      <c r="AQ502" s="36"/>
      <c r="AR502" s="36"/>
      <c r="AS502" s="36"/>
      <c r="AT502" s="36"/>
      <c r="AU502" s="36"/>
      <c r="AV502" s="36"/>
      <c r="AW502" s="36"/>
      <c r="AX502" s="36"/>
      <c r="AY502" s="36"/>
      <c r="AZ502" s="36"/>
      <c r="BA502" s="36"/>
      <c r="GH502" s="55"/>
      <c r="KD502" s="15"/>
      <c r="KE502" s="51"/>
      <c r="KH502" s="15"/>
      <c r="KI502" s="15"/>
    </row>
    <row r="503" spans="3:295">
      <c r="C503" s="1"/>
      <c r="AE503" s="51"/>
      <c r="AO503" s="49"/>
      <c r="AQ503" s="36"/>
      <c r="AR503" s="36"/>
      <c r="AS503" s="36"/>
      <c r="AT503" s="36"/>
      <c r="AU503" s="36"/>
      <c r="AV503" s="36"/>
      <c r="AW503" s="36"/>
      <c r="AX503" s="36"/>
      <c r="AY503" s="36"/>
      <c r="AZ503" s="36"/>
      <c r="BA503" s="36"/>
      <c r="GH503" s="55"/>
      <c r="KD503" s="15"/>
      <c r="KE503" s="51"/>
      <c r="KH503" s="15"/>
      <c r="KI503" s="15"/>
    </row>
    <row r="504" spans="3:295">
      <c r="C504" s="1"/>
      <c r="AE504" s="51"/>
      <c r="AO504" s="49"/>
      <c r="AQ504" s="36"/>
      <c r="AR504" s="36"/>
      <c r="AS504" s="36"/>
      <c r="AT504" s="36"/>
      <c r="AU504" s="36"/>
      <c r="AV504" s="36"/>
      <c r="AW504" s="36"/>
      <c r="AX504" s="36"/>
      <c r="AY504" s="36"/>
      <c r="AZ504" s="36"/>
      <c r="BA504" s="36"/>
      <c r="GH504" s="55"/>
      <c r="KD504" s="15"/>
      <c r="KE504" s="51"/>
      <c r="KH504" s="15"/>
      <c r="KI504" s="15"/>
    </row>
    <row r="505" spans="3:295">
      <c r="C505" s="1"/>
      <c r="AE505" s="51"/>
      <c r="AO505" s="49"/>
      <c r="AQ505" s="36"/>
      <c r="AR505" s="36"/>
      <c r="AS505" s="36"/>
      <c r="AT505" s="36"/>
      <c r="AU505" s="36"/>
      <c r="AV505" s="36"/>
      <c r="AW505" s="36"/>
      <c r="AX505" s="36"/>
      <c r="AY505" s="36"/>
      <c r="AZ505" s="36"/>
      <c r="BA505" s="36"/>
      <c r="GH505" s="55"/>
      <c r="KD505" s="15"/>
      <c r="KE505" s="51"/>
      <c r="KH505" s="15"/>
      <c r="KI505" s="15"/>
    </row>
    <row r="506" spans="3:295">
      <c r="C506" s="1"/>
      <c r="AE506" s="51"/>
      <c r="AO506" s="49"/>
      <c r="AQ506" s="36"/>
      <c r="AR506" s="36"/>
      <c r="AS506" s="36"/>
      <c r="AT506" s="36"/>
      <c r="AU506" s="36"/>
      <c r="AV506" s="36"/>
      <c r="AW506" s="36"/>
      <c r="AX506" s="36"/>
      <c r="AY506" s="36"/>
      <c r="AZ506" s="36"/>
      <c r="BA506" s="36"/>
      <c r="GH506" s="55"/>
      <c r="KD506" s="15"/>
      <c r="KE506" s="51"/>
      <c r="KH506" s="15"/>
      <c r="KI506" s="15"/>
    </row>
    <row r="507" spans="3:295">
      <c r="C507" s="1"/>
      <c r="AE507" s="51"/>
      <c r="AO507" s="49"/>
      <c r="AQ507" s="36"/>
      <c r="AR507" s="36"/>
      <c r="AS507" s="36"/>
      <c r="AT507" s="36"/>
      <c r="AU507" s="36"/>
      <c r="AV507" s="36"/>
      <c r="AW507" s="36"/>
      <c r="AX507" s="36"/>
      <c r="AY507" s="36"/>
      <c r="AZ507" s="36"/>
      <c r="BA507" s="36"/>
      <c r="GH507" s="55"/>
      <c r="KD507" s="15"/>
      <c r="KE507" s="51"/>
      <c r="KH507" s="15"/>
      <c r="KI507" s="15"/>
    </row>
    <row r="508" spans="3:295">
      <c r="C508" s="1"/>
      <c r="AE508" s="51"/>
      <c r="AO508" s="49"/>
      <c r="AQ508" s="36"/>
      <c r="AR508" s="36"/>
      <c r="AS508" s="36"/>
      <c r="AT508" s="36"/>
      <c r="AU508" s="36"/>
      <c r="AV508" s="36"/>
      <c r="AW508" s="36"/>
      <c r="AX508" s="36"/>
      <c r="AY508" s="36"/>
      <c r="AZ508" s="36"/>
      <c r="BA508" s="36"/>
      <c r="GH508" s="55"/>
      <c r="KD508" s="15"/>
      <c r="KE508" s="51"/>
      <c r="KH508" s="15"/>
      <c r="KI508" s="15"/>
    </row>
    <row r="509" spans="3:295">
      <c r="C509" s="1"/>
      <c r="AE509" s="51"/>
      <c r="AO509" s="49"/>
      <c r="AQ509" s="36"/>
      <c r="AR509" s="36"/>
      <c r="AS509" s="36"/>
      <c r="AT509" s="36"/>
      <c r="AU509" s="36"/>
      <c r="AV509" s="36"/>
      <c r="AW509" s="36"/>
      <c r="AX509" s="36"/>
      <c r="AY509" s="36"/>
      <c r="AZ509" s="36"/>
      <c r="BA509" s="36"/>
      <c r="GH509" s="55"/>
      <c r="KD509" s="15"/>
      <c r="KE509" s="51"/>
      <c r="KH509" s="15"/>
      <c r="KI509" s="15"/>
    </row>
    <row r="510" spans="3:295">
      <c r="C510" s="1"/>
      <c r="AE510" s="51"/>
      <c r="AO510" s="49"/>
      <c r="AQ510" s="36"/>
      <c r="AR510" s="36"/>
      <c r="AS510" s="36"/>
      <c r="AT510" s="36"/>
      <c r="AU510" s="36"/>
      <c r="AV510" s="36"/>
      <c r="AW510" s="36"/>
      <c r="AX510" s="36"/>
      <c r="AY510" s="36"/>
      <c r="AZ510" s="36"/>
      <c r="BA510" s="36"/>
      <c r="GH510" s="55"/>
      <c r="KD510" s="15"/>
      <c r="KE510" s="51"/>
      <c r="KH510" s="15"/>
      <c r="KI510" s="15"/>
    </row>
    <row r="511" spans="3:295">
      <c r="C511" s="1"/>
      <c r="AE511" s="51"/>
      <c r="AO511" s="49"/>
      <c r="AQ511" s="36"/>
      <c r="AR511" s="36"/>
      <c r="AS511" s="36"/>
      <c r="AT511" s="36"/>
      <c r="AU511" s="36"/>
      <c r="AV511" s="36"/>
      <c r="AW511" s="36"/>
      <c r="AX511" s="36"/>
      <c r="AY511" s="36"/>
      <c r="AZ511" s="36"/>
      <c r="BA511" s="36"/>
      <c r="GH511" s="55"/>
      <c r="KD511" s="15"/>
      <c r="KE511" s="51"/>
      <c r="KH511" s="15"/>
      <c r="KI511" s="15"/>
    </row>
    <row r="512" spans="3:295">
      <c r="C512" s="1"/>
      <c r="AE512" s="51"/>
      <c r="AO512" s="49"/>
      <c r="AQ512" s="36"/>
      <c r="AR512" s="36"/>
      <c r="AS512" s="36"/>
      <c r="AT512" s="36"/>
      <c r="AU512" s="36"/>
      <c r="AV512" s="36"/>
      <c r="AW512" s="36"/>
      <c r="AX512" s="36"/>
      <c r="AY512" s="36"/>
      <c r="AZ512" s="36"/>
      <c r="BA512" s="36"/>
      <c r="GH512" s="55"/>
      <c r="KD512" s="15"/>
      <c r="KE512" s="51"/>
      <c r="KH512" s="15"/>
      <c r="KI512" s="15"/>
    </row>
    <row r="513" spans="3:295">
      <c r="C513" s="1"/>
      <c r="AE513" s="51"/>
      <c r="AO513" s="49"/>
      <c r="AQ513" s="36"/>
      <c r="AR513" s="36"/>
      <c r="AS513" s="36"/>
      <c r="AT513" s="36"/>
      <c r="AU513" s="36"/>
      <c r="AV513" s="36"/>
      <c r="AW513" s="36"/>
      <c r="AX513" s="36"/>
      <c r="AY513" s="36"/>
      <c r="AZ513" s="36"/>
      <c r="BA513" s="36"/>
      <c r="GH513" s="55"/>
      <c r="KD513" s="15"/>
      <c r="KE513" s="51"/>
      <c r="KH513" s="15"/>
      <c r="KI513" s="15"/>
    </row>
    <row r="514" spans="3:295">
      <c r="C514" s="1"/>
      <c r="AE514" s="51"/>
      <c r="AO514" s="49"/>
      <c r="AQ514" s="36"/>
      <c r="AR514" s="36"/>
      <c r="AS514" s="36"/>
      <c r="AT514" s="36"/>
      <c r="AU514" s="36"/>
      <c r="AV514" s="36"/>
      <c r="AW514" s="36"/>
      <c r="AX514" s="36"/>
      <c r="AY514" s="36"/>
      <c r="AZ514" s="36"/>
      <c r="BA514" s="36"/>
      <c r="GH514" s="55"/>
      <c r="KD514" s="15"/>
      <c r="KE514" s="51"/>
      <c r="KH514" s="15"/>
      <c r="KI514" s="15"/>
    </row>
    <row r="515" spans="3:295">
      <c r="C515" s="1"/>
      <c r="AE515" s="51"/>
      <c r="AO515" s="49"/>
      <c r="AQ515" s="36"/>
      <c r="AR515" s="36"/>
      <c r="AS515" s="36"/>
      <c r="AT515" s="36"/>
      <c r="AU515" s="36"/>
      <c r="AV515" s="36"/>
      <c r="AW515" s="36"/>
      <c r="AX515" s="36"/>
      <c r="AY515" s="36"/>
      <c r="AZ515" s="36"/>
      <c r="BA515" s="36"/>
      <c r="GH515" s="55"/>
      <c r="KD515" s="15"/>
      <c r="KE515" s="51"/>
      <c r="KH515" s="15"/>
      <c r="KI515" s="15"/>
    </row>
    <row r="516" spans="3:295">
      <c r="C516" s="1"/>
      <c r="AE516" s="51"/>
      <c r="AO516" s="49"/>
      <c r="AQ516" s="36"/>
      <c r="AR516" s="36"/>
      <c r="AS516" s="36"/>
      <c r="AT516" s="36"/>
      <c r="AU516" s="36"/>
      <c r="AV516" s="36"/>
      <c r="AW516" s="36"/>
      <c r="AX516" s="36"/>
      <c r="AY516" s="36"/>
      <c r="AZ516" s="36"/>
      <c r="BA516" s="36"/>
      <c r="GH516" s="55"/>
      <c r="KD516" s="15"/>
      <c r="KE516" s="51"/>
      <c r="KH516" s="15"/>
      <c r="KI516" s="15"/>
    </row>
    <row r="517" spans="3:295">
      <c r="C517" s="1"/>
      <c r="AE517" s="51"/>
      <c r="AO517" s="49"/>
      <c r="AQ517" s="36"/>
      <c r="AR517" s="36"/>
      <c r="AS517" s="36"/>
      <c r="AT517" s="36"/>
      <c r="AU517" s="36"/>
      <c r="AV517" s="36"/>
      <c r="AW517" s="36"/>
      <c r="AX517" s="36"/>
      <c r="AY517" s="36"/>
      <c r="AZ517" s="36"/>
      <c r="BA517" s="36"/>
      <c r="GH517" s="55"/>
      <c r="KD517" s="15"/>
      <c r="KE517" s="51"/>
      <c r="KH517" s="15"/>
      <c r="KI517" s="15"/>
    </row>
    <row r="518" spans="3:295">
      <c r="C518" s="1"/>
      <c r="AE518" s="51"/>
      <c r="AO518" s="49"/>
      <c r="AQ518" s="36"/>
      <c r="AR518" s="36"/>
      <c r="AS518" s="36"/>
      <c r="AT518" s="36"/>
      <c r="AU518" s="36"/>
      <c r="AV518" s="36"/>
      <c r="AW518" s="36"/>
      <c r="AX518" s="36"/>
      <c r="AY518" s="36"/>
      <c r="AZ518" s="36"/>
      <c r="BA518" s="36"/>
      <c r="GH518" s="55"/>
      <c r="KD518" s="15"/>
      <c r="KE518" s="51"/>
      <c r="KH518" s="15"/>
      <c r="KI518" s="15"/>
    </row>
    <row r="519" spans="3:295">
      <c r="C519" s="1"/>
      <c r="AE519" s="51"/>
      <c r="AO519" s="49"/>
      <c r="AQ519" s="36"/>
      <c r="AR519" s="36"/>
      <c r="AS519" s="36"/>
      <c r="AT519" s="36"/>
      <c r="AU519" s="36"/>
      <c r="AV519" s="36"/>
      <c r="AW519" s="36"/>
      <c r="AX519" s="36"/>
      <c r="AY519" s="36"/>
      <c r="AZ519" s="36"/>
      <c r="BA519" s="36"/>
      <c r="GH519" s="55"/>
      <c r="KD519" s="15"/>
      <c r="KE519" s="51"/>
      <c r="KH519" s="15"/>
      <c r="KI519" s="15"/>
    </row>
    <row r="520" spans="3:295">
      <c r="C520" s="1"/>
      <c r="AE520" s="51"/>
      <c r="AO520" s="49"/>
      <c r="AQ520" s="36"/>
      <c r="AR520" s="36"/>
      <c r="AS520" s="36"/>
      <c r="AT520" s="36"/>
      <c r="AU520" s="36"/>
      <c r="AV520" s="36"/>
      <c r="AW520" s="36"/>
      <c r="AX520" s="36"/>
      <c r="AY520" s="36"/>
      <c r="AZ520" s="36"/>
      <c r="BA520" s="36"/>
      <c r="GH520" s="55"/>
      <c r="KD520" s="15"/>
      <c r="KE520" s="51"/>
      <c r="KH520" s="15"/>
      <c r="KI520" s="15"/>
    </row>
    <row r="521" spans="3:295">
      <c r="C521" s="1"/>
      <c r="AE521" s="51"/>
      <c r="AO521" s="49"/>
      <c r="AQ521" s="36"/>
      <c r="AR521" s="36"/>
      <c r="AS521" s="36"/>
      <c r="AT521" s="36"/>
      <c r="AU521" s="36"/>
      <c r="AV521" s="36"/>
      <c r="AW521" s="36"/>
      <c r="AX521" s="36"/>
      <c r="AY521" s="36"/>
      <c r="AZ521" s="36"/>
      <c r="BA521" s="36"/>
      <c r="GH521" s="55"/>
      <c r="KD521" s="15"/>
      <c r="KE521" s="51"/>
      <c r="KH521" s="15"/>
      <c r="KI521" s="15"/>
    </row>
    <row r="522" spans="3:295">
      <c r="C522" s="1"/>
      <c r="AE522" s="51"/>
      <c r="AO522" s="49"/>
      <c r="AQ522" s="36"/>
      <c r="AR522" s="36"/>
      <c r="AS522" s="36"/>
      <c r="AT522" s="36"/>
      <c r="AU522" s="36"/>
      <c r="AV522" s="36"/>
      <c r="AW522" s="36"/>
      <c r="AX522" s="36"/>
      <c r="AY522" s="36"/>
      <c r="AZ522" s="36"/>
      <c r="BA522" s="36"/>
      <c r="GH522" s="55"/>
      <c r="KD522" s="15"/>
      <c r="KE522" s="51"/>
      <c r="KH522" s="15"/>
      <c r="KI522" s="15"/>
    </row>
    <row r="523" spans="3:295">
      <c r="C523" s="1"/>
      <c r="AE523" s="51"/>
      <c r="AO523" s="49"/>
      <c r="AQ523" s="36"/>
      <c r="AR523" s="36"/>
      <c r="AS523" s="36"/>
      <c r="AT523" s="36"/>
      <c r="AU523" s="36"/>
      <c r="AV523" s="36"/>
      <c r="AW523" s="36"/>
      <c r="AX523" s="36"/>
      <c r="AY523" s="36"/>
      <c r="AZ523" s="36"/>
      <c r="BA523" s="36"/>
      <c r="GH523" s="55"/>
      <c r="KD523" s="15"/>
      <c r="KE523" s="51"/>
      <c r="KH523" s="15"/>
      <c r="KI523" s="15"/>
    </row>
    <row r="524" spans="3:295">
      <c r="C524" s="1"/>
      <c r="AE524" s="51"/>
      <c r="AO524" s="49"/>
      <c r="AQ524" s="36"/>
      <c r="AR524" s="36"/>
      <c r="AS524" s="36"/>
      <c r="AT524" s="36"/>
      <c r="AU524" s="36"/>
      <c r="AV524" s="36"/>
      <c r="AW524" s="36"/>
      <c r="AX524" s="36"/>
      <c r="AY524" s="36"/>
      <c r="AZ524" s="36"/>
      <c r="BA524" s="36"/>
      <c r="GH524" s="55"/>
      <c r="KD524" s="15"/>
      <c r="KE524" s="51"/>
      <c r="KH524" s="15"/>
      <c r="KI524" s="15"/>
    </row>
    <row r="525" spans="3:295">
      <c r="C525" s="1"/>
      <c r="AE525" s="51"/>
      <c r="AO525" s="49"/>
      <c r="AQ525" s="36"/>
      <c r="AR525" s="36"/>
      <c r="AS525" s="36"/>
      <c r="AT525" s="36"/>
      <c r="AU525" s="36"/>
      <c r="AV525" s="36"/>
      <c r="AW525" s="36"/>
      <c r="AX525" s="36"/>
      <c r="AY525" s="36"/>
      <c r="AZ525" s="36"/>
      <c r="BA525" s="36"/>
      <c r="GH525" s="55"/>
      <c r="KD525" s="15"/>
      <c r="KE525" s="51"/>
      <c r="KH525" s="15"/>
      <c r="KI525" s="15"/>
    </row>
    <row r="526" spans="3:295">
      <c r="C526" s="1"/>
      <c r="AE526" s="51"/>
      <c r="AO526" s="49"/>
      <c r="AQ526" s="36"/>
      <c r="AR526" s="36"/>
      <c r="AS526" s="36"/>
      <c r="AT526" s="36"/>
      <c r="AU526" s="36"/>
      <c r="AV526" s="36"/>
      <c r="AW526" s="36"/>
      <c r="AX526" s="36"/>
      <c r="AY526" s="36"/>
      <c r="AZ526" s="36"/>
      <c r="BA526" s="36"/>
      <c r="GH526" s="55"/>
      <c r="KD526" s="15"/>
      <c r="KE526" s="51"/>
      <c r="KH526" s="15"/>
      <c r="KI526" s="15"/>
    </row>
    <row r="527" spans="3:295">
      <c r="C527" s="1"/>
      <c r="AE527" s="51"/>
      <c r="AO527" s="49"/>
      <c r="AQ527" s="36"/>
      <c r="AR527" s="36"/>
      <c r="AS527" s="36"/>
      <c r="AT527" s="36"/>
      <c r="AU527" s="36"/>
      <c r="AV527" s="36"/>
      <c r="AW527" s="36"/>
      <c r="AX527" s="36"/>
      <c r="AY527" s="36"/>
      <c r="AZ527" s="36"/>
      <c r="BA527" s="36"/>
      <c r="GH527" s="55"/>
      <c r="KD527" s="15"/>
      <c r="KE527" s="51"/>
      <c r="KH527" s="15"/>
      <c r="KI527" s="15"/>
    </row>
    <row r="528" spans="3:295">
      <c r="C528" s="1"/>
      <c r="AE528" s="51"/>
      <c r="AO528" s="49"/>
      <c r="AQ528" s="36"/>
      <c r="AR528" s="36"/>
      <c r="AS528" s="36"/>
      <c r="AT528" s="36"/>
      <c r="AU528" s="36"/>
      <c r="AV528" s="36"/>
      <c r="AW528" s="36"/>
      <c r="AX528" s="36"/>
      <c r="AY528" s="36"/>
      <c r="AZ528" s="36"/>
      <c r="BA528" s="36"/>
      <c r="GH528" s="55"/>
      <c r="KD528" s="15"/>
      <c r="KE528" s="51"/>
      <c r="KH528" s="15"/>
      <c r="KI528" s="15"/>
    </row>
    <row r="529" spans="3:295">
      <c r="C529" s="1"/>
      <c r="AE529" s="51"/>
      <c r="AO529" s="49"/>
      <c r="AQ529" s="36"/>
      <c r="AR529" s="36"/>
      <c r="AS529" s="36"/>
      <c r="AT529" s="36"/>
      <c r="AU529" s="36"/>
      <c r="AV529" s="36"/>
      <c r="AW529" s="36"/>
      <c r="AX529" s="36"/>
      <c r="AY529" s="36"/>
      <c r="AZ529" s="36"/>
      <c r="BA529" s="36"/>
      <c r="GH529" s="55"/>
      <c r="KD529" s="15"/>
      <c r="KE529" s="51"/>
      <c r="KH529" s="15"/>
      <c r="KI529" s="15"/>
    </row>
    <row r="530" spans="3:295">
      <c r="C530" s="1"/>
      <c r="AE530" s="51"/>
      <c r="AO530" s="49"/>
      <c r="AQ530" s="36"/>
      <c r="AR530" s="36"/>
      <c r="AS530" s="36"/>
      <c r="AT530" s="36"/>
      <c r="AU530" s="36"/>
      <c r="AV530" s="36"/>
      <c r="AW530" s="36"/>
      <c r="AX530" s="36"/>
      <c r="AY530" s="36"/>
      <c r="AZ530" s="36"/>
      <c r="BA530" s="36"/>
      <c r="GH530" s="55"/>
      <c r="KD530" s="15"/>
      <c r="KE530" s="51"/>
      <c r="KH530" s="15"/>
      <c r="KI530" s="15"/>
    </row>
    <row r="531" spans="3:295">
      <c r="C531" s="1"/>
      <c r="AE531" s="51"/>
      <c r="AO531" s="49"/>
      <c r="AQ531" s="36"/>
      <c r="AR531" s="36"/>
      <c r="AS531" s="36"/>
      <c r="AT531" s="36"/>
      <c r="AU531" s="36"/>
      <c r="AV531" s="36"/>
      <c r="AW531" s="36"/>
      <c r="AX531" s="36"/>
      <c r="AY531" s="36"/>
      <c r="AZ531" s="36"/>
      <c r="BA531" s="36"/>
      <c r="GH531" s="55"/>
      <c r="KD531" s="15"/>
      <c r="KE531" s="51"/>
      <c r="KH531" s="15"/>
      <c r="KI531" s="15"/>
    </row>
    <row r="532" spans="3:295">
      <c r="C532" s="1"/>
      <c r="AE532" s="51"/>
      <c r="AO532" s="49"/>
      <c r="AQ532" s="36"/>
      <c r="AR532" s="36"/>
      <c r="AS532" s="36"/>
      <c r="AT532" s="36"/>
      <c r="AU532" s="36"/>
      <c r="AV532" s="36"/>
      <c r="AW532" s="36"/>
      <c r="AX532" s="36"/>
      <c r="AY532" s="36"/>
      <c r="AZ532" s="36"/>
      <c r="BA532" s="36"/>
      <c r="GH532" s="55"/>
      <c r="KD532" s="15"/>
      <c r="KE532" s="51"/>
      <c r="KH532" s="15"/>
      <c r="KI532" s="15"/>
    </row>
    <row r="533" spans="3:295">
      <c r="C533" s="1"/>
      <c r="AE533" s="51"/>
      <c r="AO533" s="49"/>
      <c r="AQ533" s="36"/>
      <c r="AR533" s="36"/>
      <c r="AS533" s="36"/>
      <c r="AT533" s="36"/>
      <c r="AU533" s="36"/>
      <c r="AV533" s="36"/>
      <c r="AW533" s="36"/>
      <c r="AX533" s="36"/>
      <c r="AY533" s="36"/>
      <c r="AZ533" s="36"/>
      <c r="BA533" s="36"/>
      <c r="GH533" s="55"/>
      <c r="KD533" s="15"/>
      <c r="KE533" s="51"/>
      <c r="KH533" s="15"/>
      <c r="KI533" s="15"/>
    </row>
    <row r="534" spans="3:295">
      <c r="C534" s="1"/>
      <c r="AE534" s="51"/>
      <c r="AO534" s="49"/>
      <c r="AQ534" s="36"/>
      <c r="AR534" s="36"/>
      <c r="AS534" s="36"/>
      <c r="AT534" s="36"/>
      <c r="AU534" s="36"/>
      <c r="AV534" s="36"/>
      <c r="AW534" s="36"/>
      <c r="AX534" s="36"/>
      <c r="AY534" s="36"/>
      <c r="AZ534" s="36"/>
      <c r="BA534" s="36"/>
      <c r="GH534" s="55"/>
      <c r="KD534" s="15"/>
      <c r="KE534" s="51"/>
      <c r="KH534" s="15"/>
      <c r="KI534" s="15"/>
    </row>
    <row r="535" spans="3:295">
      <c r="C535" s="1"/>
      <c r="AE535" s="51"/>
      <c r="AO535" s="49"/>
      <c r="AQ535" s="36"/>
      <c r="AR535" s="36"/>
      <c r="AS535" s="36"/>
      <c r="AT535" s="36"/>
      <c r="AU535" s="36"/>
      <c r="AV535" s="36"/>
      <c r="AW535" s="36"/>
      <c r="AX535" s="36"/>
      <c r="AY535" s="36"/>
      <c r="AZ535" s="36"/>
      <c r="BA535" s="36"/>
      <c r="GH535" s="55"/>
      <c r="KD535" s="15"/>
      <c r="KE535" s="51"/>
      <c r="KH535" s="15"/>
      <c r="KI535" s="15"/>
    </row>
    <row r="536" spans="3:295">
      <c r="C536" s="1"/>
      <c r="AE536" s="51"/>
      <c r="AO536" s="49"/>
      <c r="AQ536" s="36"/>
      <c r="AR536" s="36"/>
      <c r="AS536" s="36"/>
      <c r="AT536" s="36"/>
      <c r="AU536" s="36"/>
      <c r="AV536" s="36"/>
      <c r="AW536" s="36"/>
      <c r="AX536" s="36"/>
      <c r="AY536" s="36"/>
      <c r="AZ536" s="36"/>
      <c r="BA536" s="36"/>
      <c r="GH536" s="55"/>
      <c r="KD536" s="15"/>
      <c r="KE536" s="51"/>
      <c r="KH536" s="15"/>
      <c r="KI536" s="15"/>
    </row>
    <row r="537" spans="3:295">
      <c r="C537" s="1"/>
      <c r="AE537" s="51"/>
      <c r="AO537" s="49"/>
      <c r="AQ537" s="36"/>
      <c r="AR537" s="36"/>
      <c r="AS537" s="36"/>
      <c r="AT537" s="36"/>
      <c r="AU537" s="36"/>
      <c r="AV537" s="36"/>
      <c r="AW537" s="36"/>
      <c r="AX537" s="36"/>
      <c r="AY537" s="36"/>
      <c r="AZ537" s="36"/>
      <c r="BA537" s="36"/>
      <c r="GH537" s="55"/>
      <c r="KD537" s="15"/>
      <c r="KE537" s="51"/>
      <c r="KH537" s="15"/>
      <c r="KI537" s="15"/>
    </row>
    <row r="538" spans="3:295">
      <c r="C538" s="1"/>
      <c r="AE538" s="51"/>
      <c r="AO538" s="49"/>
      <c r="AQ538" s="36"/>
      <c r="AR538" s="36"/>
      <c r="AS538" s="36"/>
      <c r="AT538" s="36"/>
      <c r="AU538" s="36"/>
      <c r="AV538" s="36"/>
      <c r="AW538" s="36"/>
      <c r="AX538" s="36"/>
      <c r="AY538" s="36"/>
      <c r="AZ538" s="36"/>
      <c r="BA538" s="36"/>
      <c r="GH538" s="55"/>
      <c r="KD538" s="15"/>
      <c r="KE538" s="51"/>
      <c r="KH538" s="15"/>
      <c r="KI538" s="15"/>
    </row>
    <row r="539" spans="3:295">
      <c r="C539" s="1"/>
      <c r="AE539" s="51"/>
      <c r="AO539" s="49"/>
      <c r="AQ539" s="36"/>
      <c r="AR539" s="36"/>
      <c r="AS539" s="36"/>
      <c r="AT539" s="36"/>
      <c r="AU539" s="36"/>
      <c r="AV539" s="36"/>
      <c r="AW539" s="36"/>
      <c r="AX539" s="36"/>
      <c r="AY539" s="36"/>
      <c r="AZ539" s="36"/>
      <c r="BA539" s="36"/>
      <c r="GH539" s="55"/>
      <c r="KD539" s="15"/>
      <c r="KE539" s="51"/>
      <c r="KH539" s="15"/>
      <c r="KI539" s="15"/>
    </row>
    <row r="540" spans="3:295">
      <c r="C540" s="1"/>
      <c r="AE540" s="51"/>
      <c r="AO540" s="49"/>
      <c r="AQ540" s="36"/>
      <c r="AR540" s="36"/>
      <c r="AS540" s="36"/>
      <c r="AT540" s="36"/>
      <c r="AU540" s="36"/>
      <c r="AV540" s="36"/>
      <c r="AW540" s="36"/>
      <c r="AX540" s="36"/>
      <c r="AY540" s="36"/>
      <c r="AZ540" s="36"/>
      <c r="BA540" s="36"/>
      <c r="GH540" s="55"/>
      <c r="KD540" s="15"/>
      <c r="KE540" s="51"/>
      <c r="KH540" s="15"/>
      <c r="KI540" s="15"/>
    </row>
    <row r="541" spans="3:295">
      <c r="C541" s="1"/>
      <c r="AE541" s="51"/>
      <c r="AO541" s="49"/>
      <c r="AQ541" s="36"/>
      <c r="AR541" s="36"/>
      <c r="AS541" s="36"/>
      <c r="AT541" s="36"/>
      <c r="AU541" s="36"/>
      <c r="AV541" s="36"/>
      <c r="AW541" s="36"/>
      <c r="AX541" s="36"/>
      <c r="AY541" s="36"/>
      <c r="AZ541" s="36"/>
      <c r="BA541" s="36"/>
      <c r="GH541" s="55"/>
      <c r="KD541" s="15"/>
      <c r="KE541" s="51"/>
      <c r="KH541" s="15"/>
      <c r="KI541" s="15"/>
    </row>
    <row r="542" spans="3:295">
      <c r="C542" s="1"/>
      <c r="AE542" s="51"/>
      <c r="AO542" s="49"/>
      <c r="AQ542" s="36"/>
      <c r="AR542" s="36"/>
      <c r="AS542" s="36"/>
      <c r="AT542" s="36"/>
      <c r="AU542" s="36"/>
      <c r="AV542" s="36"/>
      <c r="AW542" s="36"/>
      <c r="AX542" s="36"/>
      <c r="AY542" s="36"/>
      <c r="AZ542" s="36"/>
      <c r="BA542" s="36"/>
      <c r="GH542" s="55"/>
      <c r="KD542" s="15"/>
      <c r="KE542" s="51"/>
      <c r="KH542" s="15"/>
      <c r="KI542" s="15"/>
    </row>
    <row r="543" spans="3:295">
      <c r="C543" s="1"/>
      <c r="AE543" s="51"/>
      <c r="AO543" s="49"/>
      <c r="AQ543" s="36"/>
      <c r="AR543" s="36"/>
      <c r="AS543" s="36"/>
      <c r="AT543" s="36"/>
      <c r="AU543" s="36"/>
      <c r="AV543" s="36"/>
      <c r="AW543" s="36"/>
      <c r="AX543" s="36"/>
      <c r="AY543" s="36"/>
      <c r="AZ543" s="36"/>
      <c r="BA543" s="36"/>
      <c r="GH543" s="55"/>
      <c r="KD543" s="15"/>
      <c r="KE543" s="51"/>
      <c r="KH543" s="15"/>
      <c r="KI543" s="15"/>
    </row>
    <row r="544" spans="3:295">
      <c r="C544" s="1"/>
      <c r="AE544" s="51"/>
      <c r="AO544" s="49"/>
      <c r="AQ544" s="36"/>
      <c r="AR544" s="36"/>
      <c r="AS544" s="36"/>
      <c r="AT544" s="36"/>
      <c r="AU544" s="36"/>
      <c r="AV544" s="36"/>
      <c r="AW544" s="36"/>
      <c r="AX544" s="36"/>
      <c r="AY544" s="36"/>
      <c r="AZ544" s="36"/>
      <c r="BA544" s="36"/>
      <c r="GH544" s="55"/>
      <c r="KD544" s="15"/>
      <c r="KE544" s="51"/>
      <c r="KH544" s="15"/>
      <c r="KI544" s="15"/>
    </row>
    <row r="545" spans="3:295">
      <c r="C545" s="1"/>
      <c r="AE545" s="51"/>
      <c r="AO545" s="49"/>
      <c r="AQ545" s="36"/>
      <c r="AR545" s="36"/>
      <c r="AS545" s="36"/>
      <c r="AT545" s="36"/>
      <c r="AU545" s="36"/>
      <c r="AV545" s="36"/>
      <c r="AW545" s="36"/>
      <c r="AX545" s="36"/>
      <c r="AY545" s="36"/>
      <c r="AZ545" s="36"/>
      <c r="BA545" s="36"/>
      <c r="GH545" s="55"/>
      <c r="KD545" s="15"/>
      <c r="KE545" s="51"/>
      <c r="KH545" s="15"/>
      <c r="KI545" s="15"/>
    </row>
    <row r="546" spans="3:295">
      <c r="C546" s="1"/>
      <c r="AE546" s="51"/>
      <c r="AO546" s="49"/>
      <c r="AQ546" s="36"/>
      <c r="AR546" s="36"/>
      <c r="AS546" s="36"/>
      <c r="AT546" s="36"/>
      <c r="AU546" s="36"/>
      <c r="AV546" s="36"/>
      <c r="AW546" s="36"/>
      <c r="AX546" s="36"/>
      <c r="AY546" s="36"/>
      <c r="AZ546" s="36"/>
      <c r="BA546" s="36"/>
      <c r="GH546" s="55"/>
      <c r="KD546" s="15"/>
      <c r="KE546" s="51"/>
      <c r="KH546" s="15"/>
      <c r="KI546" s="15"/>
    </row>
    <row r="547" spans="3:295">
      <c r="C547" s="1"/>
      <c r="AE547" s="51"/>
      <c r="AO547" s="49"/>
      <c r="AQ547" s="36"/>
      <c r="AR547" s="36"/>
      <c r="AS547" s="36"/>
      <c r="AT547" s="36"/>
      <c r="AU547" s="36"/>
      <c r="AV547" s="36"/>
      <c r="AW547" s="36"/>
      <c r="AX547" s="36"/>
      <c r="AY547" s="36"/>
      <c r="AZ547" s="36"/>
      <c r="BA547" s="36"/>
      <c r="GH547" s="55"/>
      <c r="KD547" s="15"/>
      <c r="KE547" s="51"/>
      <c r="KH547" s="15"/>
      <c r="KI547" s="15"/>
    </row>
    <row r="548" spans="3:295">
      <c r="C548" s="1"/>
      <c r="AE548" s="51"/>
      <c r="AO548" s="49"/>
      <c r="AQ548" s="36"/>
      <c r="AR548" s="36"/>
      <c r="AS548" s="36"/>
      <c r="AT548" s="36"/>
      <c r="AU548" s="36"/>
      <c r="AV548" s="36"/>
      <c r="AW548" s="36"/>
      <c r="AX548" s="36"/>
      <c r="AY548" s="36"/>
      <c r="AZ548" s="36"/>
      <c r="BA548" s="36"/>
      <c r="GH548" s="55"/>
      <c r="KD548" s="15"/>
      <c r="KE548" s="51"/>
      <c r="KH548" s="15"/>
      <c r="KI548" s="15"/>
    </row>
    <row r="549" spans="3:295">
      <c r="C549" s="1"/>
      <c r="AE549" s="51"/>
      <c r="AO549" s="49"/>
      <c r="AQ549" s="36"/>
      <c r="AR549" s="36"/>
      <c r="AS549" s="36"/>
      <c r="AT549" s="36"/>
      <c r="AU549" s="36"/>
      <c r="AV549" s="36"/>
      <c r="AW549" s="36"/>
      <c r="AX549" s="36"/>
      <c r="AY549" s="36"/>
      <c r="AZ549" s="36"/>
      <c r="BA549" s="36"/>
      <c r="GH549" s="55"/>
      <c r="KD549" s="15"/>
      <c r="KE549" s="51"/>
      <c r="KH549" s="15"/>
      <c r="KI549" s="15"/>
    </row>
    <row r="550" spans="3:295">
      <c r="C550" s="1"/>
      <c r="AE550" s="51"/>
      <c r="AO550" s="49"/>
      <c r="AQ550" s="36"/>
      <c r="AR550" s="36"/>
      <c r="AS550" s="36"/>
      <c r="AT550" s="36"/>
      <c r="AU550" s="36"/>
      <c r="AV550" s="36"/>
      <c r="AW550" s="36"/>
      <c r="AX550" s="36"/>
      <c r="AY550" s="36"/>
      <c r="AZ550" s="36"/>
      <c r="BA550" s="36"/>
      <c r="GH550" s="55"/>
      <c r="KD550" s="15"/>
      <c r="KE550" s="51"/>
      <c r="KH550" s="15"/>
      <c r="KI550" s="15"/>
    </row>
    <row r="551" spans="3:295">
      <c r="C551" s="1"/>
      <c r="AE551" s="51"/>
      <c r="AO551" s="49"/>
      <c r="AQ551" s="36"/>
      <c r="AR551" s="36"/>
      <c r="AS551" s="36"/>
      <c r="AT551" s="36"/>
      <c r="AU551" s="36"/>
      <c r="AV551" s="36"/>
      <c r="AW551" s="36"/>
      <c r="AX551" s="36"/>
      <c r="AY551" s="36"/>
      <c r="AZ551" s="36"/>
      <c r="BA551" s="36"/>
      <c r="GH551" s="55"/>
      <c r="KD551" s="15"/>
      <c r="KE551" s="51"/>
      <c r="KH551" s="15"/>
      <c r="KI551" s="15"/>
    </row>
    <row r="552" spans="3:295">
      <c r="C552" s="1"/>
      <c r="AE552" s="51"/>
      <c r="AO552" s="49"/>
      <c r="AQ552" s="36"/>
      <c r="AR552" s="36"/>
      <c r="AS552" s="36"/>
      <c r="AT552" s="36"/>
      <c r="AU552" s="36"/>
      <c r="AV552" s="36"/>
      <c r="AW552" s="36"/>
      <c r="AX552" s="36"/>
      <c r="AY552" s="36"/>
      <c r="AZ552" s="36"/>
      <c r="BA552" s="36"/>
      <c r="GH552" s="55"/>
      <c r="KD552" s="15"/>
      <c r="KE552" s="51"/>
      <c r="KH552" s="15"/>
      <c r="KI552" s="15"/>
    </row>
    <row r="553" spans="3:295">
      <c r="C553" s="1"/>
      <c r="AE553" s="51"/>
      <c r="AO553" s="49"/>
      <c r="AQ553" s="36"/>
      <c r="AR553" s="36"/>
      <c r="AS553" s="36"/>
      <c r="AT553" s="36"/>
      <c r="AU553" s="36"/>
      <c r="AV553" s="36"/>
      <c r="AW553" s="36"/>
      <c r="AX553" s="36"/>
      <c r="AY553" s="36"/>
      <c r="AZ553" s="36"/>
      <c r="BA553" s="36"/>
      <c r="GH553" s="55"/>
      <c r="KD553" s="15"/>
      <c r="KE553" s="51"/>
      <c r="KH553" s="15"/>
      <c r="KI553" s="15"/>
    </row>
    <row r="554" spans="3:295">
      <c r="C554" s="1"/>
      <c r="AE554" s="51"/>
      <c r="AO554" s="49"/>
      <c r="AQ554" s="36"/>
      <c r="AR554" s="36"/>
      <c r="AS554" s="36"/>
      <c r="AT554" s="36"/>
      <c r="AU554" s="36"/>
      <c r="AV554" s="36"/>
      <c r="AW554" s="36"/>
      <c r="AX554" s="36"/>
      <c r="AY554" s="36"/>
      <c r="AZ554" s="36"/>
      <c r="BA554" s="36"/>
      <c r="GH554" s="55"/>
      <c r="KD554" s="15"/>
      <c r="KE554" s="51"/>
      <c r="KH554" s="15"/>
      <c r="KI554" s="15"/>
    </row>
    <row r="555" spans="3:295">
      <c r="C555" s="1"/>
      <c r="AE555" s="51"/>
      <c r="AO555" s="49"/>
      <c r="AQ555" s="36"/>
      <c r="AR555" s="36"/>
      <c r="AS555" s="36"/>
      <c r="AT555" s="36"/>
      <c r="AU555" s="36"/>
      <c r="AV555" s="36"/>
      <c r="AW555" s="36"/>
      <c r="AX555" s="36"/>
      <c r="AY555" s="36"/>
      <c r="AZ555" s="36"/>
      <c r="BA555" s="36"/>
      <c r="GH555" s="55"/>
      <c r="KD555" s="15"/>
      <c r="KE555" s="51"/>
      <c r="KH555" s="15"/>
      <c r="KI555" s="15"/>
    </row>
    <row r="556" spans="3:295">
      <c r="C556" s="1"/>
      <c r="AE556" s="51"/>
      <c r="AO556" s="49"/>
      <c r="AQ556" s="36"/>
      <c r="AR556" s="36"/>
      <c r="AS556" s="36"/>
      <c r="AT556" s="36"/>
      <c r="AU556" s="36"/>
      <c r="AV556" s="36"/>
      <c r="AW556" s="36"/>
      <c r="AX556" s="36"/>
      <c r="AY556" s="36"/>
      <c r="AZ556" s="36"/>
      <c r="BA556" s="36"/>
      <c r="GH556" s="55"/>
      <c r="KD556" s="15"/>
      <c r="KE556" s="51"/>
      <c r="KH556" s="15"/>
      <c r="KI556" s="15"/>
    </row>
    <row r="557" spans="3:295">
      <c r="C557" s="1"/>
      <c r="AE557" s="51"/>
      <c r="AO557" s="49"/>
      <c r="AQ557" s="36"/>
      <c r="AR557" s="36"/>
      <c r="AS557" s="36"/>
      <c r="AT557" s="36"/>
      <c r="AU557" s="36"/>
      <c r="AV557" s="36"/>
      <c r="AW557" s="36"/>
      <c r="AX557" s="36"/>
      <c r="AY557" s="36"/>
      <c r="AZ557" s="36"/>
      <c r="BA557" s="36"/>
      <c r="GH557" s="55"/>
      <c r="KD557" s="15"/>
      <c r="KE557" s="51"/>
      <c r="KH557" s="15"/>
      <c r="KI557" s="15"/>
    </row>
    <row r="558" spans="3:295">
      <c r="C558" s="1"/>
      <c r="AE558" s="51"/>
      <c r="AO558" s="49"/>
      <c r="AQ558" s="36"/>
      <c r="AR558" s="36"/>
      <c r="AS558" s="36"/>
      <c r="AT558" s="36"/>
      <c r="AU558" s="36"/>
      <c r="AV558" s="36"/>
      <c r="AW558" s="36"/>
      <c r="AX558" s="36"/>
      <c r="AY558" s="36"/>
      <c r="AZ558" s="36"/>
      <c r="BA558" s="36"/>
      <c r="GH558" s="55"/>
      <c r="KD558" s="15"/>
      <c r="KE558" s="51"/>
      <c r="KH558" s="15"/>
      <c r="KI558" s="15"/>
    </row>
    <row r="559" spans="3:295">
      <c r="C559" s="1"/>
      <c r="AE559" s="51"/>
      <c r="AO559" s="49"/>
      <c r="AQ559" s="36"/>
      <c r="AR559" s="36"/>
      <c r="AS559" s="36"/>
      <c r="AT559" s="36"/>
      <c r="AU559" s="36"/>
      <c r="AV559" s="36"/>
      <c r="AW559" s="36"/>
      <c r="AX559" s="36"/>
      <c r="AY559" s="36"/>
      <c r="AZ559" s="36"/>
      <c r="BA559" s="36"/>
      <c r="GH559" s="55"/>
      <c r="KD559" s="15"/>
      <c r="KE559" s="51"/>
      <c r="KH559" s="15"/>
      <c r="KI559" s="15"/>
    </row>
    <row r="560" spans="3:295">
      <c r="C560" s="1"/>
      <c r="AE560" s="51"/>
      <c r="AO560" s="49"/>
      <c r="AQ560" s="36"/>
      <c r="AR560" s="36"/>
      <c r="AS560" s="36"/>
      <c r="AT560" s="36"/>
      <c r="AU560" s="36"/>
      <c r="AV560" s="36"/>
      <c r="AW560" s="36"/>
      <c r="AX560" s="36"/>
      <c r="AY560" s="36"/>
      <c r="AZ560" s="36"/>
      <c r="BA560" s="36"/>
      <c r="GH560" s="55"/>
      <c r="KD560" s="15"/>
      <c r="KE560" s="51"/>
      <c r="KH560" s="15"/>
      <c r="KI560" s="15"/>
    </row>
    <row r="561" spans="3:295">
      <c r="C561" s="1"/>
      <c r="AE561" s="51"/>
      <c r="AO561" s="49"/>
      <c r="AQ561" s="36"/>
      <c r="AR561" s="36"/>
      <c r="AS561" s="36"/>
      <c r="AT561" s="36"/>
      <c r="AU561" s="36"/>
      <c r="AV561" s="36"/>
      <c r="AW561" s="36"/>
      <c r="AX561" s="36"/>
      <c r="AY561" s="36"/>
      <c r="AZ561" s="36"/>
      <c r="BA561" s="36"/>
      <c r="GH561" s="55"/>
      <c r="KD561" s="15"/>
      <c r="KE561" s="51"/>
      <c r="KH561" s="15"/>
      <c r="KI561" s="15"/>
    </row>
    <row r="562" spans="3:295">
      <c r="C562" s="1"/>
      <c r="AE562" s="51"/>
      <c r="AO562" s="49"/>
      <c r="AQ562" s="36"/>
      <c r="AR562" s="36"/>
      <c r="AS562" s="36"/>
      <c r="AT562" s="36"/>
      <c r="AU562" s="36"/>
      <c r="AV562" s="36"/>
      <c r="AW562" s="36"/>
      <c r="AX562" s="36"/>
      <c r="AY562" s="36"/>
      <c r="AZ562" s="36"/>
      <c r="BA562" s="36"/>
      <c r="GH562" s="55"/>
      <c r="KD562" s="15"/>
      <c r="KE562" s="51"/>
      <c r="KH562" s="15"/>
      <c r="KI562" s="15"/>
    </row>
    <row r="563" spans="3:295">
      <c r="C563" s="1"/>
      <c r="AE563" s="51"/>
      <c r="AO563" s="49"/>
      <c r="AQ563" s="36"/>
      <c r="AR563" s="36"/>
      <c r="AS563" s="36"/>
      <c r="AT563" s="36"/>
      <c r="AU563" s="36"/>
      <c r="AV563" s="36"/>
      <c r="AW563" s="36"/>
      <c r="AX563" s="36"/>
      <c r="AY563" s="36"/>
      <c r="AZ563" s="36"/>
      <c r="BA563" s="36"/>
      <c r="GH563" s="55"/>
      <c r="KD563" s="15"/>
      <c r="KE563" s="51"/>
      <c r="KH563" s="15"/>
      <c r="KI563" s="15"/>
    </row>
    <row r="564" spans="3:295">
      <c r="C564" s="1"/>
      <c r="AE564" s="51"/>
      <c r="AO564" s="49"/>
      <c r="AQ564" s="36"/>
      <c r="AR564" s="36"/>
      <c r="AS564" s="36"/>
      <c r="AT564" s="36"/>
      <c r="AU564" s="36"/>
      <c r="AV564" s="36"/>
      <c r="AW564" s="36"/>
      <c r="AX564" s="36"/>
      <c r="AY564" s="36"/>
      <c r="AZ564" s="36"/>
      <c r="BA564" s="36"/>
      <c r="GH564" s="55"/>
      <c r="KD564" s="15"/>
      <c r="KE564" s="51"/>
      <c r="KH564" s="15"/>
      <c r="KI564" s="15"/>
    </row>
    <row r="565" spans="3:295">
      <c r="C565" s="1"/>
      <c r="AE565" s="51"/>
      <c r="AO565" s="49"/>
      <c r="AQ565" s="36"/>
      <c r="AR565" s="36"/>
      <c r="AS565" s="36"/>
      <c r="AT565" s="36"/>
      <c r="AU565" s="36"/>
      <c r="AV565" s="36"/>
      <c r="AW565" s="36"/>
      <c r="AX565" s="36"/>
      <c r="AY565" s="36"/>
      <c r="AZ565" s="36"/>
      <c r="BA565" s="36"/>
      <c r="GH565" s="55"/>
      <c r="KD565" s="15"/>
      <c r="KE565" s="51"/>
      <c r="KH565" s="15"/>
      <c r="KI565" s="15"/>
    </row>
    <row r="566" spans="3:295">
      <c r="C566" s="1"/>
      <c r="AE566" s="51"/>
      <c r="AO566" s="49"/>
      <c r="AQ566" s="36"/>
      <c r="AR566" s="36"/>
      <c r="AS566" s="36"/>
      <c r="AT566" s="36"/>
      <c r="AU566" s="36"/>
      <c r="AV566" s="36"/>
      <c r="AW566" s="36"/>
      <c r="AX566" s="36"/>
      <c r="AY566" s="36"/>
      <c r="AZ566" s="36"/>
      <c r="BA566" s="36"/>
      <c r="GH566" s="55"/>
      <c r="KD566" s="15"/>
      <c r="KE566" s="51"/>
      <c r="KH566" s="15"/>
      <c r="KI566" s="15"/>
    </row>
    <row r="567" spans="3:295">
      <c r="C567" s="1"/>
      <c r="AE567" s="51"/>
      <c r="AO567" s="49"/>
      <c r="AQ567" s="36"/>
      <c r="AR567" s="36"/>
      <c r="AS567" s="36"/>
      <c r="AT567" s="36"/>
      <c r="AU567" s="36"/>
      <c r="AV567" s="36"/>
      <c r="AW567" s="36"/>
      <c r="AX567" s="36"/>
      <c r="AY567" s="36"/>
      <c r="AZ567" s="36"/>
      <c r="BA567" s="36"/>
      <c r="GH567" s="55"/>
      <c r="KD567" s="15"/>
      <c r="KE567" s="51"/>
      <c r="KH567" s="15"/>
      <c r="KI567" s="15"/>
    </row>
    <row r="568" spans="3:295">
      <c r="C568" s="1"/>
      <c r="AE568" s="51"/>
      <c r="AO568" s="49"/>
      <c r="AQ568" s="36"/>
      <c r="AR568" s="36"/>
      <c r="AS568" s="36"/>
      <c r="AT568" s="36"/>
      <c r="AU568" s="36"/>
      <c r="AV568" s="36"/>
      <c r="AW568" s="36"/>
      <c r="AX568" s="36"/>
      <c r="AY568" s="36"/>
      <c r="AZ568" s="36"/>
      <c r="BA568" s="36"/>
      <c r="GH568" s="55"/>
      <c r="KD568" s="15"/>
      <c r="KE568" s="51"/>
      <c r="KH568" s="15"/>
      <c r="KI568" s="15"/>
    </row>
    <row r="569" spans="3:295">
      <c r="C569" s="1"/>
      <c r="AE569" s="51"/>
      <c r="AO569" s="49"/>
      <c r="AQ569" s="36"/>
      <c r="AR569" s="36"/>
      <c r="AS569" s="36"/>
      <c r="AT569" s="36"/>
      <c r="AU569" s="36"/>
      <c r="AV569" s="36"/>
      <c r="AW569" s="36"/>
      <c r="AX569" s="36"/>
      <c r="AY569" s="36"/>
      <c r="AZ569" s="36"/>
      <c r="BA569" s="36"/>
      <c r="GH569" s="55"/>
      <c r="KD569" s="15"/>
      <c r="KE569" s="51"/>
      <c r="KH569" s="15"/>
      <c r="KI569" s="15"/>
    </row>
    <row r="570" spans="3:295">
      <c r="C570" s="1"/>
      <c r="AE570" s="51"/>
      <c r="AO570" s="49"/>
      <c r="AQ570" s="36"/>
      <c r="AR570" s="36"/>
      <c r="AS570" s="36"/>
      <c r="AT570" s="36"/>
      <c r="AU570" s="36"/>
      <c r="AV570" s="36"/>
      <c r="AW570" s="36"/>
      <c r="AX570" s="36"/>
      <c r="AY570" s="36"/>
      <c r="AZ570" s="36"/>
      <c r="BA570" s="36"/>
      <c r="GH570" s="55"/>
      <c r="KD570" s="15"/>
      <c r="KE570" s="51"/>
      <c r="KH570" s="15"/>
      <c r="KI570" s="15"/>
    </row>
    <row r="571" spans="3:295">
      <c r="C571" s="1"/>
      <c r="AE571" s="51"/>
      <c r="AO571" s="49"/>
      <c r="AQ571" s="36"/>
      <c r="AR571" s="36"/>
      <c r="AS571" s="36"/>
      <c r="AT571" s="36"/>
      <c r="AU571" s="36"/>
      <c r="AV571" s="36"/>
      <c r="AW571" s="36"/>
      <c r="AX571" s="36"/>
      <c r="AY571" s="36"/>
      <c r="AZ571" s="36"/>
      <c r="BA571" s="36"/>
      <c r="GH571" s="55"/>
      <c r="KD571" s="15"/>
      <c r="KE571" s="51"/>
      <c r="KH571" s="15"/>
      <c r="KI571" s="15"/>
    </row>
    <row r="572" spans="3:295">
      <c r="C572" s="1"/>
      <c r="AE572" s="51"/>
      <c r="AO572" s="49"/>
      <c r="AQ572" s="36"/>
      <c r="AR572" s="36"/>
      <c r="AS572" s="36"/>
      <c r="AT572" s="36"/>
      <c r="AU572" s="36"/>
      <c r="AV572" s="36"/>
      <c r="AW572" s="36"/>
      <c r="AX572" s="36"/>
      <c r="AY572" s="36"/>
      <c r="AZ572" s="36"/>
      <c r="BA572" s="36"/>
      <c r="GH572" s="55"/>
      <c r="KD572" s="15"/>
      <c r="KE572" s="51"/>
      <c r="KH572" s="15"/>
      <c r="KI572" s="15"/>
    </row>
    <row r="573" spans="3:295">
      <c r="C573" s="1"/>
      <c r="AE573" s="51"/>
      <c r="AO573" s="49"/>
      <c r="AQ573" s="36"/>
      <c r="AR573" s="36"/>
      <c r="AS573" s="36"/>
      <c r="AT573" s="36"/>
      <c r="AU573" s="36"/>
      <c r="AV573" s="36"/>
      <c r="AW573" s="36"/>
      <c r="AX573" s="36"/>
      <c r="AY573" s="36"/>
      <c r="AZ573" s="36"/>
      <c r="BA573" s="36"/>
      <c r="GH573" s="55"/>
      <c r="KD573" s="15"/>
      <c r="KE573" s="51"/>
      <c r="KH573" s="15"/>
      <c r="KI573" s="15"/>
    </row>
    <row r="574" spans="3:295">
      <c r="C574" s="1"/>
      <c r="AE574" s="51"/>
      <c r="AO574" s="49"/>
      <c r="AQ574" s="36"/>
      <c r="AR574" s="36"/>
      <c r="AS574" s="36"/>
      <c r="AT574" s="36"/>
      <c r="AU574" s="36"/>
      <c r="AV574" s="36"/>
      <c r="AW574" s="36"/>
      <c r="AX574" s="36"/>
      <c r="AY574" s="36"/>
      <c r="AZ574" s="36"/>
      <c r="BA574" s="36"/>
      <c r="GH574" s="55"/>
      <c r="KD574" s="15"/>
      <c r="KE574" s="51"/>
      <c r="KH574" s="15"/>
      <c r="KI574" s="15"/>
    </row>
    <row r="575" spans="3:295">
      <c r="C575" s="1"/>
      <c r="AE575" s="51"/>
      <c r="AO575" s="49"/>
      <c r="AQ575" s="36"/>
      <c r="AR575" s="36"/>
      <c r="AS575" s="36"/>
      <c r="AT575" s="36"/>
      <c r="AU575" s="36"/>
      <c r="AV575" s="36"/>
      <c r="AW575" s="36"/>
      <c r="AX575" s="36"/>
      <c r="AY575" s="36"/>
      <c r="AZ575" s="36"/>
      <c r="BA575" s="36"/>
      <c r="GH575" s="55"/>
      <c r="KD575" s="15"/>
      <c r="KE575" s="51"/>
      <c r="KH575" s="15"/>
      <c r="KI575" s="15"/>
    </row>
    <row r="576" spans="3:295">
      <c r="C576" s="1"/>
      <c r="AE576" s="51"/>
      <c r="AO576" s="49"/>
      <c r="AQ576" s="36"/>
      <c r="AR576" s="36"/>
      <c r="AS576" s="36"/>
      <c r="AT576" s="36"/>
      <c r="AU576" s="36"/>
      <c r="AV576" s="36"/>
      <c r="AW576" s="36"/>
      <c r="AX576" s="36"/>
      <c r="AY576" s="36"/>
      <c r="AZ576" s="36"/>
      <c r="BA576" s="36"/>
      <c r="GH576" s="55"/>
      <c r="KD576" s="15"/>
      <c r="KE576" s="51"/>
      <c r="KH576" s="15"/>
      <c r="KI576" s="15"/>
    </row>
    <row r="577" spans="3:295">
      <c r="C577" s="1"/>
      <c r="AE577" s="51"/>
      <c r="AO577" s="49"/>
      <c r="AQ577" s="36"/>
      <c r="AR577" s="36"/>
      <c r="AS577" s="36"/>
      <c r="AT577" s="36"/>
      <c r="AU577" s="36"/>
      <c r="AV577" s="36"/>
      <c r="AW577" s="36"/>
      <c r="AX577" s="36"/>
      <c r="AY577" s="36"/>
      <c r="AZ577" s="36"/>
      <c r="BA577" s="36"/>
      <c r="GH577" s="55"/>
      <c r="KD577" s="15"/>
      <c r="KE577" s="51"/>
      <c r="KH577" s="15"/>
      <c r="KI577" s="15"/>
    </row>
    <row r="578" spans="3:295">
      <c r="C578" s="1"/>
      <c r="AE578" s="51"/>
      <c r="AO578" s="49"/>
      <c r="AQ578" s="36"/>
      <c r="AR578" s="36"/>
      <c r="AS578" s="36"/>
      <c r="AT578" s="36"/>
      <c r="AU578" s="36"/>
      <c r="AV578" s="36"/>
      <c r="AW578" s="36"/>
      <c r="AX578" s="36"/>
      <c r="AY578" s="36"/>
      <c r="AZ578" s="36"/>
      <c r="BA578" s="36"/>
      <c r="GH578" s="55"/>
      <c r="KD578" s="15"/>
      <c r="KE578" s="51"/>
      <c r="KH578" s="15"/>
      <c r="KI578" s="15"/>
    </row>
    <row r="579" spans="3:295">
      <c r="C579" s="1"/>
      <c r="AE579" s="51"/>
      <c r="AO579" s="49"/>
      <c r="AQ579" s="36"/>
      <c r="AR579" s="36"/>
      <c r="AS579" s="36"/>
      <c r="AT579" s="36"/>
      <c r="AU579" s="36"/>
      <c r="AV579" s="36"/>
      <c r="AW579" s="36"/>
      <c r="AX579" s="36"/>
      <c r="AY579" s="36"/>
      <c r="AZ579" s="36"/>
      <c r="BA579" s="36"/>
      <c r="GH579" s="55"/>
      <c r="KD579" s="15"/>
      <c r="KE579" s="51"/>
      <c r="KH579" s="15"/>
      <c r="KI579" s="15"/>
    </row>
    <row r="580" spans="3:295">
      <c r="C580" s="1"/>
      <c r="AE580" s="51"/>
      <c r="AO580" s="49"/>
      <c r="AQ580" s="36"/>
      <c r="AR580" s="36"/>
      <c r="AS580" s="36"/>
      <c r="AT580" s="36"/>
      <c r="AU580" s="36"/>
      <c r="AV580" s="36"/>
      <c r="AW580" s="36"/>
      <c r="AX580" s="36"/>
      <c r="AY580" s="36"/>
      <c r="AZ580" s="36"/>
      <c r="BA580" s="36"/>
      <c r="GH580" s="55"/>
      <c r="KD580" s="15"/>
      <c r="KE580" s="51"/>
      <c r="KH580" s="15"/>
      <c r="KI580" s="15"/>
    </row>
    <row r="581" spans="3:295">
      <c r="C581" s="1"/>
      <c r="AE581" s="51"/>
      <c r="AO581" s="49"/>
      <c r="AQ581" s="36"/>
      <c r="AR581" s="36"/>
      <c r="AS581" s="36"/>
      <c r="AT581" s="36"/>
      <c r="AU581" s="36"/>
      <c r="AV581" s="36"/>
      <c r="AW581" s="36"/>
      <c r="AX581" s="36"/>
      <c r="AY581" s="36"/>
      <c r="AZ581" s="36"/>
      <c r="BA581" s="36"/>
      <c r="GH581" s="55"/>
      <c r="KD581" s="15"/>
      <c r="KE581" s="51"/>
      <c r="KH581" s="15"/>
      <c r="KI581" s="15"/>
    </row>
    <row r="582" spans="3:295">
      <c r="C582" s="1"/>
      <c r="AE582" s="51"/>
      <c r="AO582" s="49"/>
      <c r="AQ582" s="36"/>
      <c r="AR582" s="36"/>
      <c r="AS582" s="36"/>
      <c r="AT582" s="36"/>
      <c r="AU582" s="36"/>
      <c r="AV582" s="36"/>
      <c r="AW582" s="36"/>
      <c r="AX582" s="36"/>
      <c r="AY582" s="36"/>
      <c r="AZ582" s="36"/>
      <c r="BA582" s="36"/>
      <c r="GH582" s="55"/>
      <c r="KD582" s="15"/>
      <c r="KE582" s="51"/>
      <c r="KH582" s="15"/>
      <c r="KI582" s="15"/>
    </row>
    <row r="583" spans="3:295">
      <c r="C583" s="1"/>
      <c r="AE583" s="51"/>
      <c r="AO583" s="49"/>
      <c r="AQ583" s="36"/>
      <c r="AR583" s="36"/>
      <c r="AS583" s="36"/>
      <c r="AT583" s="36"/>
      <c r="AU583" s="36"/>
      <c r="AV583" s="36"/>
      <c r="AW583" s="36"/>
      <c r="AX583" s="36"/>
      <c r="AY583" s="36"/>
      <c r="AZ583" s="36"/>
      <c r="BA583" s="36"/>
      <c r="GH583" s="55"/>
      <c r="KD583" s="15"/>
      <c r="KE583" s="51"/>
      <c r="KH583" s="15"/>
      <c r="KI583" s="15"/>
    </row>
    <row r="584" spans="3:295">
      <c r="C584" s="1"/>
      <c r="AE584" s="51"/>
      <c r="AO584" s="49"/>
      <c r="AQ584" s="36"/>
      <c r="AR584" s="36"/>
      <c r="AS584" s="36"/>
      <c r="AT584" s="36"/>
      <c r="AU584" s="36"/>
      <c r="AV584" s="36"/>
      <c r="AW584" s="36"/>
      <c r="AX584" s="36"/>
      <c r="AY584" s="36"/>
      <c r="AZ584" s="36"/>
      <c r="BA584" s="36"/>
      <c r="GH584" s="55"/>
      <c r="KD584" s="15"/>
      <c r="KE584" s="51"/>
      <c r="KH584" s="15"/>
      <c r="KI584" s="15"/>
    </row>
    <row r="585" spans="3:295">
      <c r="C585" s="1"/>
      <c r="AE585" s="51"/>
      <c r="AO585" s="49"/>
      <c r="AQ585" s="36"/>
      <c r="AR585" s="36"/>
      <c r="AS585" s="36"/>
      <c r="AT585" s="36"/>
      <c r="AU585" s="36"/>
      <c r="AV585" s="36"/>
      <c r="AW585" s="36"/>
      <c r="AX585" s="36"/>
      <c r="AY585" s="36"/>
      <c r="AZ585" s="36"/>
      <c r="BA585" s="36"/>
      <c r="GH585" s="55"/>
      <c r="KD585" s="15"/>
      <c r="KE585" s="51"/>
      <c r="KH585" s="15"/>
      <c r="KI585" s="15"/>
    </row>
    <row r="586" spans="3:295">
      <c r="C586" s="1"/>
      <c r="AE586" s="51"/>
      <c r="AO586" s="49"/>
      <c r="AQ586" s="36"/>
      <c r="AR586" s="36"/>
      <c r="AS586" s="36"/>
      <c r="AT586" s="36"/>
      <c r="AU586" s="36"/>
      <c r="AV586" s="36"/>
      <c r="AW586" s="36"/>
      <c r="AX586" s="36"/>
      <c r="AY586" s="36"/>
      <c r="AZ586" s="36"/>
      <c r="BA586" s="36"/>
      <c r="GH586" s="55"/>
      <c r="KD586" s="15"/>
      <c r="KE586" s="51"/>
      <c r="KH586" s="15"/>
      <c r="KI586" s="15"/>
    </row>
    <row r="587" spans="3:295">
      <c r="C587" s="1"/>
      <c r="AE587" s="51"/>
      <c r="AO587" s="49"/>
      <c r="AQ587" s="36"/>
      <c r="AR587" s="36"/>
      <c r="AS587" s="36"/>
      <c r="AT587" s="36"/>
      <c r="AU587" s="36"/>
      <c r="AV587" s="36"/>
      <c r="AW587" s="36"/>
      <c r="AX587" s="36"/>
      <c r="AY587" s="36"/>
      <c r="AZ587" s="36"/>
      <c r="BA587" s="36"/>
      <c r="GH587" s="55"/>
      <c r="KD587" s="15"/>
      <c r="KE587" s="51"/>
      <c r="KH587" s="15"/>
      <c r="KI587" s="15"/>
    </row>
    <row r="588" spans="3:295">
      <c r="C588" s="1"/>
      <c r="AE588" s="51"/>
      <c r="AO588" s="49"/>
      <c r="AQ588" s="36"/>
      <c r="AR588" s="36"/>
      <c r="AS588" s="36"/>
      <c r="AT588" s="36"/>
      <c r="AU588" s="36"/>
      <c r="AV588" s="36"/>
      <c r="AW588" s="36"/>
      <c r="AX588" s="36"/>
      <c r="AY588" s="36"/>
      <c r="AZ588" s="36"/>
      <c r="BA588" s="36"/>
      <c r="GH588" s="55"/>
      <c r="KD588" s="15"/>
      <c r="KE588" s="51"/>
      <c r="KH588" s="15"/>
      <c r="KI588" s="15"/>
    </row>
    <row r="589" spans="3:295">
      <c r="C589" s="1"/>
      <c r="AE589" s="51"/>
      <c r="AO589" s="49"/>
      <c r="AQ589" s="36"/>
      <c r="AR589" s="36"/>
      <c r="AS589" s="36"/>
      <c r="AT589" s="36"/>
      <c r="AU589" s="36"/>
      <c r="AV589" s="36"/>
      <c r="AW589" s="36"/>
      <c r="AX589" s="36"/>
      <c r="AY589" s="36"/>
      <c r="AZ589" s="36"/>
      <c r="BA589" s="36"/>
      <c r="GH589" s="55"/>
      <c r="KD589" s="15"/>
      <c r="KE589" s="51"/>
      <c r="KH589" s="15"/>
      <c r="KI589" s="15"/>
    </row>
    <row r="590" spans="3:295">
      <c r="C590" s="1"/>
      <c r="AE590" s="51"/>
      <c r="AO590" s="49"/>
      <c r="AQ590" s="36"/>
      <c r="AR590" s="36"/>
      <c r="AS590" s="36"/>
      <c r="AT590" s="36"/>
      <c r="AU590" s="36"/>
      <c r="AV590" s="36"/>
      <c r="AW590" s="36"/>
      <c r="AX590" s="36"/>
      <c r="AY590" s="36"/>
      <c r="AZ590" s="36"/>
      <c r="BA590" s="36"/>
      <c r="GH590" s="55"/>
      <c r="KD590" s="15"/>
      <c r="KE590" s="51"/>
      <c r="KH590" s="15"/>
      <c r="KI590" s="15"/>
    </row>
    <row r="591" spans="3:295">
      <c r="C591" s="1"/>
      <c r="AE591" s="51"/>
      <c r="AO591" s="49"/>
      <c r="AQ591" s="36"/>
      <c r="AR591" s="36"/>
      <c r="AS591" s="36"/>
      <c r="AT591" s="36"/>
      <c r="AU591" s="36"/>
      <c r="AV591" s="36"/>
      <c r="AW591" s="36"/>
      <c r="AX591" s="36"/>
      <c r="AY591" s="36"/>
      <c r="AZ591" s="36"/>
      <c r="BA591" s="36"/>
      <c r="GH591" s="55"/>
      <c r="KD591" s="15"/>
      <c r="KE591" s="51"/>
      <c r="KH591" s="15"/>
      <c r="KI591" s="15"/>
    </row>
    <row r="592" spans="3:295">
      <c r="C592" s="1"/>
      <c r="AE592" s="51"/>
      <c r="AO592" s="49"/>
      <c r="AQ592" s="36"/>
      <c r="AR592" s="36"/>
      <c r="AS592" s="36"/>
      <c r="AT592" s="36"/>
      <c r="AU592" s="36"/>
      <c r="AV592" s="36"/>
      <c r="AW592" s="36"/>
      <c r="AX592" s="36"/>
      <c r="AY592" s="36"/>
      <c r="AZ592" s="36"/>
      <c r="BA592" s="36"/>
      <c r="GH592" s="55"/>
      <c r="KD592" s="15"/>
      <c r="KE592" s="51"/>
      <c r="KH592" s="15"/>
      <c r="KI592" s="15"/>
    </row>
    <row r="593" spans="3:295">
      <c r="C593" s="1"/>
      <c r="AE593" s="51"/>
      <c r="AO593" s="49"/>
      <c r="AQ593" s="36"/>
      <c r="AR593" s="36"/>
      <c r="AS593" s="36"/>
      <c r="AT593" s="36"/>
      <c r="AU593" s="36"/>
      <c r="AV593" s="36"/>
      <c r="AW593" s="36"/>
      <c r="AX593" s="36"/>
      <c r="AY593" s="36"/>
      <c r="AZ593" s="36"/>
      <c r="BA593" s="36"/>
      <c r="GH593" s="55"/>
      <c r="KD593" s="15"/>
      <c r="KE593" s="51"/>
      <c r="KH593" s="15"/>
      <c r="KI593" s="15"/>
    </row>
    <row r="594" spans="3:295">
      <c r="C594" s="1"/>
      <c r="AE594" s="51"/>
      <c r="AO594" s="49"/>
      <c r="AQ594" s="36"/>
      <c r="AR594" s="36"/>
      <c r="AS594" s="36"/>
      <c r="AT594" s="36"/>
      <c r="AU594" s="36"/>
      <c r="AV594" s="36"/>
      <c r="AW594" s="36"/>
      <c r="AX594" s="36"/>
      <c r="AY594" s="36"/>
      <c r="AZ594" s="36"/>
      <c r="BA594" s="36"/>
      <c r="GH594" s="55"/>
      <c r="KD594" s="15"/>
      <c r="KE594" s="51"/>
      <c r="KH594" s="15"/>
      <c r="KI594" s="15"/>
    </row>
    <row r="595" spans="3:295">
      <c r="C595" s="1"/>
      <c r="AE595" s="51"/>
      <c r="AO595" s="49"/>
      <c r="AQ595" s="36"/>
      <c r="AR595" s="36"/>
      <c r="AS595" s="36"/>
      <c r="AT595" s="36"/>
      <c r="AU595" s="36"/>
      <c r="AV595" s="36"/>
      <c r="AW595" s="36"/>
      <c r="AX595" s="36"/>
      <c r="AY595" s="36"/>
      <c r="AZ595" s="36"/>
      <c r="BA595" s="36"/>
      <c r="GH595" s="55"/>
      <c r="KD595" s="15"/>
      <c r="KE595" s="51"/>
      <c r="KH595" s="15"/>
      <c r="KI595" s="15"/>
    </row>
    <row r="596" spans="3:295">
      <c r="C596" s="1"/>
      <c r="AE596" s="51"/>
      <c r="AO596" s="49"/>
      <c r="AQ596" s="36"/>
      <c r="AR596" s="36"/>
      <c r="AS596" s="36"/>
      <c r="AT596" s="36"/>
      <c r="AU596" s="36"/>
      <c r="AV596" s="36"/>
      <c r="AW596" s="36"/>
      <c r="AX596" s="36"/>
      <c r="AY596" s="36"/>
      <c r="AZ596" s="36"/>
      <c r="BA596" s="36"/>
      <c r="GH596" s="55"/>
      <c r="KD596" s="15"/>
      <c r="KE596" s="51"/>
      <c r="KH596" s="15"/>
      <c r="KI596" s="15"/>
    </row>
    <row r="597" spans="3:295">
      <c r="C597" s="1"/>
      <c r="AE597" s="51"/>
      <c r="AO597" s="49"/>
      <c r="AQ597" s="36"/>
      <c r="AR597" s="36"/>
      <c r="AS597" s="36"/>
      <c r="AT597" s="36"/>
      <c r="AU597" s="36"/>
      <c r="AV597" s="36"/>
      <c r="AW597" s="36"/>
      <c r="AX597" s="36"/>
      <c r="AY597" s="36"/>
      <c r="AZ597" s="36"/>
      <c r="BA597" s="36"/>
      <c r="GH597" s="55"/>
      <c r="KD597" s="15"/>
      <c r="KE597" s="51"/>
      <c r="KH597" s="15"/>
      <c r="KI597" s="15"/>
    </row>
    <row r="598" spans="3:295">
      <c r="C598" s="1"/>
      <c r="AE598" s="51"/>
      <c r="AO598" s="49"/>
      <c r="AQ598" s="36"/>
      <c r="AR598" s="36"/>
      <c r="AS598" s="36"/>
      <c r="AT598" s="36"/>
      <c r="AU598" s="36"/>
      <c r="AV598" s="36"/>
      <c r="AW598" s="36"/>
      <c r="AX598" s="36"/>
      <c r="AY598" s="36"/>
      <c r="AZ598" s="36"/>
      <c r="BA598" s="36"/>
      <c r="GH598" s="55"/>
      <c r="KD598" s="15"/>
      <c r="KE598" s="51"/>
      <c r="KH598" s="15"/>
      <c r="KI598" s="15"/>
    </row>
    <row r="599" spans="3:295">
      <c r="C599" s="1"/>
      <c r="AE599" s="51"/>
      <c r="AO599" s="49"/>
      <c r="AQ599" s="36"/>
      <c r="AR599" s="36"/>
      <c r="AS599" s="36"/>
      <c r="AT599" s="36"/>
      <c r="AU599" s="36"/>
      <c r="AV599" s="36"/>
      <c r="AW599" s="36"/>
      <c r="AX599" s="36"/>
      <c r="AY599" s="36"/>
      <c r="AZ599" s="36"/>
      <c r="BA599" s="36"/>
      <c r="GH599" s="55"/>
      <c r="KD599" s="15"/>
      <c r="KE599" s="51"/>
      <c r="KH599" s="15"/>
      <c r="KI599" s="15"/>
    </row>
    <row r="600" spans="3:295">
      <c r="C600" s="1"/>
      <c r="AE600" s="51"/>
      <c r="AO600" s="49"/>
      <c r="AQ600" s="36"/>
      <c r="AR600" s="36"/>
      <c r="AS600" s="36"/>
      <c r="AT600" s="36"/>
      <c r="AU600" s="36"/>
      <c r="AV600" s="36"/>
      <c r="AW600" s="36"/>
      <c r="AX600" s="36"/>
      <c r="AY600" s="36"/>
      <c r="AZ600" s="36"/>
      <c r="BA600" s="36"/>
      <c r="GH600" s="55"/>
      <c r="KD600" s="15"/>
      <c r="KE600" s="51"/>
      <c r="KH600" s="15"/>
      <c r="KI600" s="15"/>
    </row>
    <row r="601" spans="3:295">
      <c r="C601" s="1"/>
      <c r="AE601" s="51"/>
      <c r="AO601" s="49"/>
      <c r="AQ601" s="36"/>
      <c r="AR601" s="36"/>
      <c r="AS601" s="36"/>
      <c r="AT601" s="36"/>
      <c r="AU601" s="36"/>
      <c r="AV601" s="36"/>
      <c r="AW601" s="36"/>
      <c r="AX601" s="36"/>
      <c r="AY601" s="36"/>
      <c r="AZ601" s="36"/>
      <c r="BA601" s="36"/>
      <c r="GH601" s="55"/>
      <c r="KD601" s="15"/>
      <c r="KE601" s="51"/>
      <c r="KH601" s="15"/>
      <c r="KI601" s="15"/>
    </row>
    <row r="602" spans="3:295">
      <c r="C602" s="1"/>
      <c r="AE602" s="51"/>
      <c r="AO602" s="49"/>
      <c r="AQ602" s="36"/>
      <c r="AR602" s="36"/>
      <c r="AS602" s="36"/>
      <c r="AT602" s="36"/>
      <c r="AU602" s="36"/>
      <c r="AV602" s="36"/>
      <c r="AW602" s="36"/>
      <c r="AX602" s="36"/>
      <c r="AY602" s="36"/>
      <c r="AZ602" s="36"/>
      <c r="BA602" s="36"/>
      <c r="GH602" s="55"/>
      <c r="KD602" s="15"/>
      <c r="KE602" s="51"/>
      <c r="KH602" s="15"/>
      <c r="KI602" s="15"/>
    </row>
    <row r="603" spans="3:295">
      <c r="C603" s="1"/>
      <c r="AE603" s="51"/>
      <c r="AO603" s="49"/>
      <c r="AQ603" s="36"/>
      <c r="AR603" s="36"/>
      <c r="AS603" s="36"/>
      <c r="AT603" s="36"/>
      <c r="AU603" s="36"/>
      <c r="AV603" s="36"/>
      <c r="AW603" s="36"/>
      <c r="AX603" s="36"/>
      <c r="AY603" s="36"/>
      <c r="AZ603" s="36"/>
      <c r="BA603" s="36"/>
      <c r="GH603" s="55"/>
      <c r="KD603" s="15"/>
      <c r="KE603" s="51"/>
      <c r="KH603" s="15"/>
      <c r="KI603" s="15"/>
    </row>
    <row r="604" spans="3:295">
      <c r="C604" s="1"/>
      <c r="AE604" s="51"/>
      <c r="AO604" s="49"/>
      <c r="AQ604" s="36"/>
      <c r="AR604" s="36"/>
      <c r="AS604" s="36"/>
      <c r="AT604" s="36"/>
      <c r="AU604" s="36"/>
      <c r="AV604" s="36"/>
      <c r="AW604" s="36"/>
      <c r="AX604" s="36"/>
      <c r="AY604" s="36"/>
      <c r="AZ604" s="36"/>
      <c r="BA604" s="36"/>
      <c r="GH604" s="55"/>
      <c r="KD604" s="15"/>
      <c r="KE604" s="51"/>
      <c r="KH604" s="15"/>
      <c r="KI604" s="15"/>
    </row>
    <row r="605" spans="3:295">
      <c r="C605" s="1"/>
      <c r="AE605" s="51"/>
      <c r="AO605" s="49"/>
      <c r="AQ605" s="36"/>
      <c r="AR605" s="36"/>
      <c r="AS605" s="36"/>
      <c r="AT605" s="36"/>
      <c r="AU605" s="36"/>
      <c r="AV605" s="36"/>
      <c r="AW605" s="36"/>
      <c r="AX605" s="36"/>
      <c r="AY605" s="36"/>
      <c r="AZ605" s="36"/>
      <c r="BA605" s="36"/>
      <c r="GH605" s="55"/>
      <c r="KD605" s="15"/>
      <c r="KE605" s="51"/>
      <c r="KH605" s="15"/>
      <c r="KI605" s="15"/>
    </row>
    <row r="606" spans="3:295">
      <c r="C606" s="1"/>
      <c r="AE606" s="51"/>
      <c r="AO606" s="49"/>
      <c r="AQ606" s="36"/>
      <c r="AR606" s="36"/>
      <c r="AS606" s="36"/>
      <c r="AT606" s="36"/>
      <c r="AU606" s="36"/>
      <c r="AV606" s="36"/>
      <c r="AW606" s="36"/>
      <c r="AX606" s="36"/>
      <c r="AY606" s="36"/>
      <c r="AZ606" s="36"/>
      <c r="BA606" s="36"/>
      <c r="GH606" s="55"/>
      <c r="KD606" s="15"/>
      <c r="KE606" s="51"/>
      <c r="KH606" s="15"/>
      <c r="KI606" s="15"/>
    </row>
    <row r="607" spans="3:295">
      <c r="C607" s="1"/>
      <c r="AE607" s="51"/>
      <c r="AO607" s="49"/>
      <c r="AQ607" s="36"/>
      <c r="AR607" s="36"/>
      <c r="AS607" s="36"/>
      <c r="AT607" s="36"/>
      <c r="AU607" s="36"/>
      <c r="AV607" s="36"/>
      <c r="AW607" s="36"/>
      <c r="AX607" s="36"/>
      <c r="AY607" s="36"/>
      <c r="AZ607" s="36"/>
      <c r="BA607" s="36"/>
      <c r="GH607" s="55"/>
      <c r="KD607" s="15"/>
      <c r="KE607" s="51"/>
      <c r="KH607" s="15"/>
      <c r="KI607" s="15"/>
    </row>
    <row r="608" spans="3:295">
      <c r="C608" s="1"/>
      <c r="AE608" s="51"/>
      <c r="AO608" s="49"/>
      <c r="AQ608" s="36"/>
      <c r="AR608" s="36"/>
      <c r="AS608" s="36"/>
      <c r="AT608" s="36"/>
      <c r="AU608" s="36"/>
      <c r="AV608" s="36"/>
      <c r="AW608" s="36"/>
      <c r="AX608" s="36"/>
      <c r="AY608" s="36"/>
      <c r="AZ608" s="36"/>
      <c r="BA608" s="36"/>
      <c r="GH608" s="55"/>
      <c r="KD608" s="15"/>
      <c r="KE608" s="51"/>
      <c r="KH608" s="15"/>
      <c r="KI608" s="15"/>
    </row>
    <row r="609" spans="3:295">
      <c r="C609" s="1"/>
      <c r="AE609" s="51"/>
      <c r="AO609" s="49"/>
      <c r="AQ609" s="36"/>
      <c r="AR609" s="36"/>
      <c r="AS609" s="36"/>
      <c r="AT609" s="36"/>
      <c r="AU609" s="36"/>
      <c r="AV609" s="36"/>
      <c r="AW609" s="36"/>
      <c r="AX609" s="36"/>
      <c r="AY609" s="36"/>
      <c r="AZ609" s="36"/>
      <c r="BA609" s="36"/>
      <c r="GH609" s="55"/>
      <c r="KD609" s="15"/>
      <c r="KE609" s="51"/>
      <c r="KH609" s="15"/>
      <c r="KI609" s="15"/>
    </row>
    <row r="610" spans="3:295">
      <c r="C610" s="1"/>
      <c r="AE610" s="51"/>
      <c r="AO610" s="49"/>
      <c r="AQ610" s="36"/>
      <c r="AR610" s="36"/>
      <c r="AS610" s="36"/>
      <c r="AT610" s="36"/>
      <c r="AU610" s="36"/>
      <c r="AV610" s="36"/>
      <c r="AW610" s="36"/>
      <c r="AX610" s="36"/>
      <c r="AY610" s="36"/>
      <c r="AZ610" s="36"/>
      <c r="BA610" s="36"/>
      <c r="GH610" s="55"/>
      <c r="KD610" s="15"/>
      <c r="KE610" s="51"/>
      <c r="KH610" s="15"/>
      <c r="KI610" s="15"/>
    </row>
    <row r="611" spans="3:295">
      <c r="C611" s="1"/>
      <c r="AE611" s="51"/>
      <c r="AO611" s="49"/>
      <c r="AQ611" s="36"/>
      <c r="AR611" s="36"/>
      <c r="AS611" s="36"/>
      <c r="AT611" s="36"/>
      <c r="AU611" s="36"/>
      <c r="AV611" s="36"/>
      <c r="AW611" s="36"/>
      <c r="AX611" s="36"/>
      <c r="AY611" s="36"/>
      <c r="AZ611" s="36"/>
      <c r="BA611" s="36"/>
      <c r="GH611" s="55"/>
      <c r="KD611" s="15"/>
      <c r="KE611" s="51"/>
      <c r="KH611" s="15"/>
      <c r="KI611" s="15"/>
    </row>
    <row r="612" spans="3:295">
      <c r="C612" s="1"/>
      <c r="AE612" s="51"/>
      <c r="AO612" s="49"/>
      <c r="AQ612" s="36"/>
      <c r="AR612" s="36"/>
      <c r="AS612" s="36"/>
      <c r="AT612" s="36"/>
      <c r="AU612" s="36"/>
      <c r="AV612" s="36"/>
      <c r="AW612" s="36"/>
      <c r="AX612" s="36"/>
      <c r="AY612" s="36"/>
      <c r="AZ612" s="36"/>
      <c r="BA612" s="36"/>
      <c r="GH612" s="55"/>
      <c r="KD612" s="15"/>
      <c r="KE612" s="51"/>
      <c r="KH612" s="15"/>
      <c r="KI612" s="15"/>
    </row>
    <row r="613" spans="3:295">
      <c r="C613" s="1"/>
      <c r="AE613" s="51"/>
      <c r="AO613" s="49"/>
      <c r="AQ613" s="36"/>
      <c r="AR613" s="36"/>
      <c r="AS613" s="36"/>
      <c r="AT613" s="36"/>
      <c r="AU613" s="36"/>
      <c r="AV613" s="36"/>
      <c r="AW613" s="36"/>
      <c r="AX613" s="36"/>
      <c r="AY613" s="36"/>
      <c r="AZ613" s="36"/>
      <c r="BA613" s="36"/>
      <c r="GH613" s="55"/>
      <c r="KD613" s="15"/>
      <c r="KE613" s="51"/>
      <c r="KH613" s="15"/>
      <c r="KI613" s="15"/>
    </row>
    <row r="614" spans="3:295">
      <c r="C614" s="1"/>
      <c r="AE614" s="51"/>
      <c r="AO614" s="49"/>
      <c r="AQ614" s="36"/>
      <c r="AR614" s="36"/>
      <c r="AS614" s="36"/>
      <c r="AT614" s="36"/>
      <c r="AU614" s="36"/>
      <c r="AV614" s="36"/>
      <c r="AW614" s="36"/>
      <c r="AX614" s="36"/>
      <c r="AY614" s="36"/>
      <c r="AZ614" s="36"/>
      <c r="BA614" s="36"/>
      <c r="GH614" s="55"/>
      <c r="KD614" s="15"/>
      <c r="KE614" s="51"/>
      <c r="KH614" s="15"/>
      <c r="KI614" s="15"/>
    </row>
    <row r="615" spans="3:295">
      <c r="C615" s="1"/>
      <c r="AE615" s="51"/>
      <c r="AO615" s="49"/>
      <c r="AQ615" s="36"/>
      <c r="AR615" s="36"/>
      <c r="AS615" s="36"/>
      <c r="AT615" s="36"/>
      <c r="AU615" s="36"/>
      <c r="AV615" s="36"/>
      <c r="AW615" s="36"/>
      <c r="AX615" s="36"/>
      <c r="AY615" s="36"/>
      <c r="AZ615" s="36"/>
      <c r="BA615" s="36"/>
      <c r="GH615" s="55"/>
      <c r="KD615" s="15"/>
      <c r="KE615" s="51"/>
      <c r="KH615" s="15"/>
      <c r="KI615" s="15"/>
    </row>
    <row r="616" spans="3:295">
      <c r="C616" s="1"/>
      <c r="AE616" s="51"/>
      <c r="AO616" s="49"/>
      <c r="AQ616" s="36"/>
      <c r="AR616" s="36"/>
      <c r="AS616" s="36"/>
      <c r="AT616" s="36"/>
      <c r="AU616" s="36"/>
      <c r="AV616" s="36"/>
      <c r="AW616" s="36"/>
      <c r="AX616" s="36"/>
      <c r="AY616" s="36"/>
      <c r="AZ616" s="36"/>
      <c r="BA616" s="36"/>
      <c r="GH616" s="55"/>
      <c r="KD616" s="15"/>
      <c r="KE616" s="51"/>
      <c r="KH616" s="15"/>
      <c r="KI616" s="15"/>
    </row>
    <row r="617" spans="3:295">
      <c r="C617" s="1"/>
      <c r="AE617" s="51"/>
      <c r="AO617" s="49"/>
      <c r="AQ617" s="36"/>
      <c r="AR617" s="36"/>
      <c r="AS617" s="36"/>
      <c r="AT617" s="36"/>
      <c r="AU617" s="36"/>
      <c r="AV617" s="36"/>
      <c r="AW617" s="36"/>
      <c r="AX617" s="36"/>
      <c r="AY617" s="36"/>
      <c r="AZ617" s="36"/>
      <c r="BA617" s="36"/>
      <c r="GH617" s="55"/>
      <c r="KD617" s="15"/>
      <c r="KE617" s="51"/>
      <c r="KH617" s="15"/>
      <c r="KI617" s="15"/>
    </row>
    <row r="618" spans="3:295">
      <c r="C618" s="1"/>
      <c r="AE618" s="51"/>
      <c r="AO618" s="49"/>
      <c r="AQ618" s="36"/>
      <c r="AR618" s="36"/>
      <c r="AS618" s="36"/>
      <c r="AT618" s="36"/>
      <c r="AU618" s="36"/>
      <c r="AV618" s="36"/>
      <c r="AW618" s="36"/>
      <c r="AX618" s="36"/>
      <c r="AY618" s="36"/>
      <c r="AZ618" s="36"/>
      <c r="BA618" s="36"/>
      <c r="GH618" s="55"/>
      <c r="KD618" s="15"/>
      <c r="KE618" s="51"/>
      <c r="KH618" s="15"/>
      <c r="KI618" s="15"/>
    </row>
    <row r="619" spans="3:295">
      <c r="C619" s="1"/>
      <c r="AE619" s="51"/>
      <c r="AO619" s="49"/>
      <c r="AQ619" s="36"/>
      <c r="AR619" s="36"/>
      <c r="AS619" s="36"/>
      <c r="AT619" s="36"/>
      <c r="AU619" s="36"/>
      <c r="AV619" s="36"/>
      <c r="AW619" s="36"/>
      <c r="AX619" s="36"/>
      <c r="AY619" s="36"/>
      <c r="AZ619" s="36"/>
      <c r="BA619" s="36"/>
      <c r="GH619" s="55"/>
      <c r="KD619" s="15"/>
      <c r="KE619" s="51"/>
      <c r="KH619" s="15"/>
      <c r="KI619" s="15"/>
    </row>
    <row r="620" spans="3:295">
      <c r="C620" s="1"/>
      <c r="AE620" s="51"/>
      <c r="AO620" s="49"/>
      <c r="AQ620" s="36"/>
      <c r="AR620" s="36"/>
      <c r="AS620" s="36"/>
      <c r="AT620" s="36"/>
      <c r="AU620" s="36"/>
      <c r="AV620" s="36"/>
      <c r="AW620" s="36"/>
      <c r="AX620" s="36"/>
      <c r="AY620" s="36"/>
      <c r="AZ620" s="36"/>
      <c r="BA620" s="36"/>
      <c r="GH620" s="55"/>
      <c r="KD620" s="15"/>
      <c r="KE620" s="51"/>
      <c r="KH620" s="15"/>
      <c r="KI620" s="15"/>
    </row>
    <row r="621" spans="3:295">
      <c r="C621" s="1"/>
      <c r="AE621" s="51"/>
      <c r="AO621" s="49"/>
      <c r="AQ621" s="36"/>
      <c r="AR621" s="36"/>
      <c r="AS621" s="36"/>
      <c r="AT621" s="36"/>
      <c r="AU621" s="36"/>
      <c r="AV621" s="36"/>
      <c r="AW621" s="36"/>
      <c r="AX621" s="36"/>
      <c r="AY621" s="36"/>
      <c r="AZ621" s="36"/>
      <c r="BA621" s="36"/>
      <c r="GH621" s="55"/>
      <c r="KD621" s="15"/>
      <c r="KE621" s="51"/>
      <c r="KH621" s="15"/>
      <c r="KI621" s="15"/>
    </row>
    <row r="622" spans="3:295">
      <c r="C622" s="1"/>
      <c r="AE622" s="51"/>
      <c r="AO622" s="49"/>
      <c r="AQ622" s="36"/>
      <c r="AR622" s="36"/>
      <c r="AS622" s="36"/>
      <c r="AT622" s="36"/>
      <c r="AU622" s="36"/>
      <c r="AV622" s="36"/>
      <c r="AW622" s="36"/>
      <c r="AX622" s="36"/>
      <c r="AY622" s="36"/>
      <c r="AZ622" s="36"/>
      <c r="BA622" s="36"/>
      <c r="GH622" s="55"/>
      <c r="KD622" s="15"/>
      <c r="KE622" s="51"/>
      <c r="KH622" s="15"/>
      <c r="KI622" s="15"/>
    </row>
    <row r="623" spans="3:295">
      <c r="C623" s="1"/>
      <c r="AE623" s="51"/>
      <c r="AO623" s="49"/>
      <c r="AQ623" s="36"/>
      <c r="AR623" s="36"/>
      <c r="AS623" s="36"/>
      <c r="AT623" s="36"/>
      <c r="AU623" s="36"/>
      <c r="AV623" s="36"/>
      <c r="AW623" s="36"/>
      <c r="AX623" s="36"/>
      <c r="AY623" s="36"/>
      <c r="AZ623" s="36"/>
      <c r="BA623" s="36"/>
      <c r="GH623" s="55"/>
      <c r="KD623" s="15"/>
      <c r="KE623" s="51"/>
      <c r="KH623" s="15"/>
      <c r="KI623" s="15"/>
    </row>
    <row r="624" spans="3:295">
      <c r="C624" s="1"/>
      <c r="AE624" s="51"/>
      <c r="AO624" s="49"/>
      <c r="AQ624" s="36"/>
      <c r="AR624" s="36"/>
      <c r="AS624" s="36"/>
      <c r="AT624" s="36"/>
      <c r="AU624" s="36"/>
      <c r="AV624" s="36"/>
      <c r="AW624" s="36"/>
      <c r="AX624" s="36"/>
      <c r="AY624" s="36"/>
      <c r="AZ624" s="36"/>
      <c r="BA624" s="36"/>
      <c r="GH624" s="55"/>
      <c r="KD624" s="15"/>
      <c r="KE624" s="51"/>
      <c r="KH624" s="15"/>
      <c r="KI624" s="15"/>
    </row>
    <row r="625" spans="3:295">
      <c r="C625" s="1"/>
      <c r="AE625" s="51"/>
      <c r="AO625" s="49"/>
      <c r="AQ625" s="36"/>
      <c r="AR625" s="36"/>
      <c r="AS625" s="36"/>
      <c r="AT625" s="36"/>
      <c r="AU625" s="36"/>
      <c r="AV625" s="36"/>
      <c r="AW625" s="36"/>
      <c r="AX625" s="36"/>
      <c r="AY625" s="36"/>
      <c r="AZ625" s="36"/>
      <c r="BA625" s="36"/>
      <c r="GH625" s="55"/>
      <c r="KD625" s="15"/>
      <c r="KE625" s="51"/>
      <c r="KH625" s="15"/>
      <c r="KI625" s="15"/>
    </row>
    <row r="626" spans="3:295">
      <c r="C626" s="1"/>
      <c r="AE626" s="51"/>
      <c r="AO626" s="49"/>
      <c r="AQ626" s="36"/>
      <c r="AR626" s="36"/>
      <c r="AS626" s="36"/>
      <c r="AT626" s="36"/>
      <c r="AU626" s="36"/>
      <c r="AV626" s="36"/>
      <c r="AW626" s="36"/>
      <c r="AX626" s="36"/>
      <c r="AY626" s="36"/>
      <c r="AZ626" s="36"/>
      <c r="BA626" s="36"/>
      <c r="GH626" s="55"/>
      <c r="KD626" s="15"/>
      <c r="KE626" s="51"/>
      <c r="KH626" s="15"/>
      <c r="KI626" s="15"/>
    </row>
    <row r="627" spans="3:295">
      <c r="C627" s="1"/>
      <c r="AE627" s="51"/>
      <c r="AO627" s="49"/>
      <c r="AQ627" s="36"/>
      <c r="AR627" s="36"/>
      <c r="AS627" s="36"/>
      <c r="AT627" s="36"/>
      <c r="AU627" s="36"/>
      <c r="AV627" s="36"/>
      <c r="AW627" s="36"/>
      <c r="AX627" s="36"/>
      <c r="AY627" s="36"/>
      <c r="AZ627" s="36"/>
      <c r="BA627" s="36"/>
      <c r="GH627" s="55"/>
      <c r="KD627" s="15"/>
      <c r="KE627" s="51"/>
      <c r="KH627" s="15"/>
      <c r="KI627" s="15"/>
    </row>
    <row r="628" spans="3:295">
      <c r="C628" s="1"/>
      <c r="AE628" s="51"/>
      <c r="AO628" s="49"/>
      <c r="AQ628" s="36"/>
      <c r="AR628" s="36"/>
      <c r="AS628" s="36"/>
      <c r="AT628" s="36"/>
      <c r="AU628" s="36"/>
      <c r="AV628" s="36"/>
      <c r="AW628" s="36"/>
      <c r="AX628" s="36"/>
      <c r="AY628" s="36"/>
      <c r="AZ628" s="36"/>
      <c r="BA628" s="36"/>
      <c r="GH628" s="55"/>
      <c r="KD628" s="15"/>
      <c r="KE628" s="51"/>
      <c r="KH628" s="15"/>
      <c r="KI628" s="15"/>
    </row>
    <row r="629" spans="3:295">
      <c r="C629" s="1"/>
      <c r="AE629" s="51"/>
      <c r="AO629" s="49"/>
      <c r="AQ629" s="36"/>
      <c r="AR629" s="36"/>
      <c r="AS629" s="36"/>
      <c r="AT629" s="36"/>
      <c r="AU629" s="36"/>
      <c r="AV629" s="36"/>
      <c r="AW629" s="36"/>
      <c r="AX629" s="36"/>
      <c r="AY629" s="36"/>
      <c r="AZ629" s="36"/>
      <c r="BA629" s="36"/>
      <c r="GH629" s="55"/>
      <c r="KD629" s="15"/>
      <c r="KE629" s="51"/>
      <c r="KH629" s="15"/>
      <c r="KI629" s="15"/>
    </row>
    <row r="630" spans="3:295">
      <c r="C630" s="1"/>
      <c r="AE630" s="51"/>
      <c r="AO630" s="49"/>
      <c r="AQ630" s="36"/>
      <c r="AR630" s="36"/>
      <c r="AS630" s="36"/>
      <c r="AT630" s="36"/>
      <c r="AU630" s="36"/>
      <c r="AV630" s="36"/>
      <c r="AW630" s="36"/>
      <c r="AX630" s="36"/>
      <c r="AY630" s="36"/>
      <c r="AZ630" s="36"/>
      <c r="BA630" s="36"/>
      <c r="GH630" s="55"/>
      <c r="KD630" s="15"/>
      <c r="KE630" s="51"/>
      <c r="KH630" s="15"/>
      <c r="KI630" s="15"/>
    </row>
    <row r="631" spans="3:295">
      <c r="C631" s="1"/>
      <c r="AE631" s="51"/>
      <c r="AO631" s="49"/>
      <c r="AQ631" s="36"/>
      <c r="AR631" s="36"/>
      <c r="AS631" s="36"/>
      <c r="AT631" s="36"/>
      <c r="AU631" s="36"/>
      <c r="AV631" s="36"/>
      <c r="AW631" s="36"/>
      <c r="AX631" s="36"/>
      <c r="AY631" s="36"/>
      <c r="AZ631" s="36"/>
      <c r="BA631" s="36"/>
      <c r="GH631" s="55"/>
      <c r="KD631" s="15"/>
      <c r="KE631" s="51"/>
      <c r="KH631" s="15"/>
      <c r="KI631" s="15"/>
    </row>
    <row r="632" spans="3:295">
      <c r="C632" s="1"/>
      <c r="AE632" s="51"/>
      <c r="AO632" s="49"/>
      <c r="AQ632" s="36"/>
      <c r="AR632" s="36"/>
      <c r="AS632" s="36"/>
      <c r="AT632" s="36"/>
      <c r="AU632" s="36"/>
      <c r="AV632" s="36"/>
      <c r="AW632" s="36"/>
      <c r="AX632" s="36"/>
      <c r="AY632" s="36"/>
      <c r="AZ632" s="36"/>
      <c r="BA632" s="36"/>
      <c r="GH632" s="55"/>
      <c r="KD632" s="15"/>
      <c r="KE632" s="51"/>
      <c r="KH632" s="15"/>
      <c r="KI632" s="15"/>
    </row>
    <row r="633" spans="3:295">
      <c r="C633" s="1"/>
      <c r="AE633" s="51"/>
      <c r="AO633" s="49"/>
      <c r="AQ633" s="36"/>
      <c r="AR633" s="36"/>
      <c r="AS633" s="36"/>
      <c r="AT633" s="36"/>
      <c r="AU633" s="36"/>
      <c r="AV633" s="36"/>
      <c r="AW633" s="36"/>
      <c r="AX633" s="36"/>
      <c r="AY633" s="36"/>
      <c r="AZ633" s="36"/>
      <c r="BA633" s="36"/>
      <c r="GH633" s="55"/>
      <c r="KD633" s="15"/>
      <c r="KE633" s="51"/>
      <c r="KH633" s="15"/>
      <c r="KI633" s="15"/>
    </row>
    <row r="634" spans="3:295">
      <c r="C634" s="1"/>
      <c r="AE634" s="51"/>
      <c r="AO634" s="49"/>
      <c r="AQ634" s="36"/>
      <c r="AR634" s="36"/>
      <c r="AS634" s="36"/>
      <c r="AT634" s="36"/>
      <c r="AU634" s="36"/>
      <c r="AV634" s="36"/>
      <c r="AW634" s="36"/>
      <c r="AX634" s="36"/>
      <c r="AY634" s="36"/>
      <c r="AZ634" s="36"/>
      <c r="BA634" s="36"/>
      <c r="GH634" s="55"/>
      <c r="KD634" s="15"/>
      <c r="KE634" s="51"/>
      <c r="KH634" s="15"/>
      <c r="KI634" s="15"/>
    </row>
    <row r="635" spans="3:295">
      <c r="C635" s="1"/>
      <c r="AE635" s="51"/>
      <c r="AO635" s="49"/>
      <c r="AQ635" s="36"/>
      <c r="AR635" s="36"/>
      <c r="AS635" s="36"/>
      <c r="AT635" s="36"/>
      <c r="AU635" s="36"/>
      <c r="AV635" s="36"/>
      <c r="AW635" s="36"/>
      <c r="AX635" s="36"/>
      <c r="AY635" s="36"/>
      <c r="AZ635" s="36"/>
      <c r="BA635" s="36"/>
      <c r="GH635" s="55"/>
      <c r="KD635" s="15"/>
      <c r="KE635" s="51"/>
      <c r="KH635" s="15"/>
      <c r="KI635" s="15"/>
    </row>
    <row r="636" spans="3:295">
      <c r="C636" s="1"/>
      <c r="AE636" s="51"/>
      <c r="AO636" s="49"/>
      <c r="AQ636" s="36"/>
      <c r="AR636" s="36"/>
      <c r="AS636" s="36"/>
      <c r="AT636" s="36"/>
      <c r="AU636" s="36"/>
      <c r="AV636" s="36"/>
      <c r="AW636" s="36"/>
      <c r="AX636" s="36"/>
      <c r="AY636" s="36"/>
      <c r="AZ636" s="36"/>
      <c r="BA636" s="36"/>
      <c r="GH636" s="55"/>
      <c r="KD636" s="15"/>
      <c r="KE636" s="51"/>
      <c r="KH636" s="15"/>
      <c r="KI636" s="15"/>
    </row>
    <row r="637" spans="3:295">
      <c r="C637" s="1"/>
      <c r="AE637" s="51"/>
      <c r="AO637" s="49"/>
      <c r="AQ637" s="36"/>
      <c r="AR637" s="36"/>
      <c r="AS637" s="36"/>
      <c r="AT637" s="36"/>
      <c r="AU637" s="36"/>
      <c r="AV637" s="36"/>
      <c r="AW637" s="36"/>
      <c r="AX637" s="36"/>
      <c r="AY637" s="36"/>
      <c r="AZ637" s="36"/>
      <c r="BA637" s="36"/>
      <c r="GH637" s="55"/>
      <c r="KD637" s="15"/>
      <c r="KE637" s="51"/>
      <c r="KH637" s="15"/>
      <c r="KI637" s="15"/>
    </row>
    <row r="638" spans="3:295">
      <c r="C638" s="1"/>
      <c r="AE638" s="51"/>
      <c r="AO638" s="49"/>
      <c r="AQ638" s="36"/>
      <c r="AR638" s="36"/>
      <c r="AS638" s="36"/>
      <c r="AT638" s="36"/>
      <c r="AU638" s="36"/>
      <c r="AV638" s="36"/>
      <c r="AW638" s="36"/>
      <c r="AX638" s="36"/>
      <c r="AY638" s="36"/>
      <c r="AZ638" s="36"/>
      <c r="BA638" s="36"/>
      <c r="GH638" s="55"/>
      <c r="KD638" s="15"/>
      <c r="KE638" s="51"/>
      <c r="KH638" s="15"/>
      <c r="KI638" s="15"/>
    </row>
    <row r="639" spans="3:295">
      <c r="C639" s="1"/>
      <c r="AE639" s="51"/>
      <c r="AO639" s="49"/>
      <c r="AQ639" s="36"/>
      <c r="AR639" s="36"/>
      <c r="AS639" s="36"/>
      <c r="AT639" s="36"/>
      <c r="AU639" s="36"/>
      <c r="AV639" s="36"/>
      <c r="AW639" s="36"/>
      <c r="AX639" s="36"/>
      <c r="AY639" s="36"/>
      <c r="AZ639" s="36"/>
      <c r="BA639" s="36"/>
      <c r="GH639" s="55"/>
      <c r="KD639" s="15"/>
      <c r="KE639" s="51"/>
      <c r="KH639" s="15"/>
      <c r="KI639" s="15"/>
    </row>
    <row r="640" spans="3:295">
      <c r="C640" s="1"/>
      <c r="AE640" s="51"/>
      <c r="AO640" s="49"/>
      <c r="AQ640" s="36"/>
      <c r="AR640" s="36"/>
      <c r="AS640" s="36"/>
      <c r="AT640" s="36"/>
      <c r="AU640" s="36"/>
      <c r="AV640" s="36"/>
      <c r="AW640" s="36"/>
      <c r="AX640" s="36"/>
      <c r="AY640" s="36"/>
      <c r="AZ640" s="36"/>
      <c r="BA640" s="36"/>
      <c r="GH640" s="55"/>
      <c r="KD640" s="15"/>
      <c r="KE640" s="51"/>
      <c r="KH640" s="15"/>
      <c r="KI640" s="15"/>
    </row>
    <row r="641" spans="3:295">
      <c r="C641" s="1"/>
      <c r="AE641" s="51"/>
      <c r="AO641" s="49"/>
      <c r="AQ641" s="36"/>
      <c r="AR641" s="36"/>
      <c r="AS641" s="36"/>
      <c r="AT641" s="36"/>
      <c r="AU641" s="36"/>
      <c r="AV641" s="36"/>
      <c r="AW641" s="36"/>
      <c r="AX641" s="36"/>
      <c r="AY641" s="36"/>
      <c r="AZ641" s="36"/>
      <c r="BA641" s="36"/>
      <c r="GH641" s="55"/>
      <c r="KD641" s="15"/>
      <c r="KE641" s="51"/>
      <c r="KH641" s="15"/>
      <c r="KI641" s="15"/>
    </row>
    <row r="642" spans="3:295">
      <c r="C642" s="1"/>
      <c r="AE642" s="51"/>
      <c r="AO642" s="49"/>
      <c r="AQ642" s="36"/>
      <c r="AR642" s="36"/>
      <c r="AS642" s="36"/>
      <c r="AT642" s="36"/>
      <c r="AU642" s="36"/>
      <c r="AV642" s="36"/>
      <c r="AW642" s="36"/>
      <c r="AX642" s="36"/>
      <c r="AY642" s="36"/>
      <c r="AZ642" s="36"/>
      <c r="BA642" s="36"/>
      <c r="GH642" s="55"/>
      <c r="KD642" s="15"/>
      <c r="KE642" s="51"/>
      <c r="KH642" s="15"/>
      <c r="KI642" s="15"/>
    </row>
    <row r="643" spans="3:295">
      <c r="C643" s="1"/>
      <c r="AE643" s="51"/>
      <c r="AO643" s="49"/>
      <c r="AQ643" s="36"/>
      <c r="AR643" s="36"/>
      <c r="AS643" s="36"/>
      <c r="AT643" s="36"/>
      <c r="AU643" s="36"/>
      <c r="AV643" s="36"/>
      <c r="AW643" s="36"/>
      <c r="AX643" s="36"/>
      <c r="AY643" s="36"/>
      <c r="AZ643" s="36"/>
      <c r="BA643" s="36"/>
      <c r="GH643" s="55"/>
      <c r="KD643" s="15"/>
      <c r="KE643" s="51"/>
      <c r="KH643" s="15"/>
      <c r="KI643" s="15"/>
    </row>
    <row r="644" spans="3:295">
      <c r="C644" s="1"/>
      <c r="AE644" s="51"/>
      <c r="AO644" s="49"/>
      <c r="AQ644" s="36"/>
      <c r="AR644" s="36"/>
      <c r="AS644" s="36"/>
      <c r="AT644" s="36"/>
      <c r="AU644" s="36"/>
      <c r="AV644" s="36"/>
      <c r="AW644" s="36"/>
      <c r="AX644" s="36"/>
      <c r="AY644" s="36"/>
      <c r="AZ644" s="36"/>
      <c r="BA644" s="36"/>
      <c r="GH644" s="55"/>
      <c r="KD644" s="15"/>
      <c r="KE644" s="51"/>
      <c r="KH644" s="15"/>
      <c r="KI644" s="15"/>
    </row>
    <row r="645" spans="3:295">
      <c r="C645" s="1"/>
      <c r="AE645" s="51"/>
      <c r="AO645" s="49"/>
      <c r="AQ645" s="36"/>
      <c r="AR645" s="36"/>
      <c r="AS645" s="36"/>
      <c r="AT645" s="36"/>
      <c r="AU645" s="36"/>
      <c r="AV645" s="36"/>
      <c r="AW645" s="36"/>
      <c r="AX645" s="36"/>
      <c r="AY645" s="36"/>
      <c r="AZ645" s="36"/>
      <c r="BA645" s="36"/>
      <c r="GH645" s="55"/>
      <c r="KD645" s="15"/>
      <c r="KE645" s="51"/>
      <c r="KH645" s="15"/>
      <c r="KI645" s="15"/>
    </row>
    <row r="646" spans="3:295">
      <c r="C646" s="1"/>
      <c r="AE646" s="51"/>
      <c r="AO646" s="49"/>
      <c r="AQ646" s="36"/>
      <c r="AR646" s="36"/>
      <c r="AS646" s="36"/>
      <c r="AT646" s="36"/>
      <c r="AU646" s="36"/>
      <c r="AV646" s="36"/>
      <c r="AW646" s="36"/>
      <c r="AX646" s="36"/>
      <c r="AY646" s="36"/>
      <c r="AZ646" s="36"/>
      <c r="BA646" s="36"/>
      <c r="GH646" s="55"/>
      <c r="KD646" s="15"/>
      <c r="KE646" s="51"/>
      <c r="KH646" s="15"/>
      <c r="KI646" s="15"/>
    </row>
    <row r="647" spans="3:295">
      <c r="C647" s="1"/>
      <c r="AE647" s="51"/>
      <c r="AO647" s="49"/>
      <c r="AQ647" s="36"/>
      <c r="AR647" s="36"/>
      <c r="AS647" s="36"/>
      <c r="AT647" s="36"/>
      <c r="AU647" s="36"/>
      <c r="AV647" s="36"/>
      <c r="AW647" s="36"/>
      <c r="AX647" s="36"/>
      <c r="AY647" s="36"/>
      <c r="AZ647" s="36"/>
      <c r="BA647" s="36"/>
      <c r="GH647" s="55"/>
      <c r="KD647" s="15"/>
      <c r="KE647" s="51"/>
      <c r="KH647" s="15"/>
      <c r="KI647" s="15"/>
    </row>
    <row r="648" spans="3:295">
      <c r="C648" s="1"/>
      <c r="AE648" s="51"/>
      <c r="AO648" s="49"/>
      <c r="AQ648" s="36"/>
      <c r="AR648" s="36"/>
      <c r="AS648" s="36"/>
      <c r="AT648" s="36"/>
      <c r="AU648" s="36"/>
      <c r="AV648" s="36"/>
      <c r="AW648" s="36"/>
      <c r="AX648" s="36"/>
      <c r="AY648" s="36"/>
      <c r="AZ648" s="36"/>
      <c r="BA648" s="36"/>
      <c r="GH648" s="55"/>
      <c r="KD648" s="15"/>
      <c r="KE648" s="51"/>
      <c r="KH648" s="15"/>
      <c r="KI648" s="15"/>
    </row>
    <row r="649" spans="3:295">
      <c r="C649" s="1"/>
      <c r="AE649" s="51"/>
      <c r="AO649" s="49"/>
      <c r="AQ649" s="36"/>
      <c r="AR649" s="36"/>
      <c r="AS649" s="36"/>
      <c r="AT649" s="36"/>
      <c r="AU649" s="36"/>
      <c r="AV649" s="36"/>
      <c r="AW649" s="36"/>
      <c r="AX649" s="36"/>
      <c r="AY649" s="36"/>
      <c r="AZ649" s="36"/>
      <c r="BA649" s="36"/>
      <c r="GH649" s="55"/>
      <c r="KD649" s="15"/>
      <c r="KE649" s="51"/>
      <c r="KH649" s="15"/>
      <c r="KI649" s="15"/>
    </row>
    <row r="650" spans="3:295">
      <c r="C650" s="1"/>
      <c r="AE650" s="51"/>
      <c r="AO650" s="49"/>
      <c r="AQ650" s="36"/>
      <c r="AR650" s="36"/>
      <c r="AS650" s="36"/>
      <c r="AT650" s="36"/>
      <c r="AU650" s="36"/>
      <c r="AV650" s="36"/>
      <c r="AW650" s="36"/>
      <c r="AX650" s="36"/>
      <c r="AY650" s="36"/>
      <c r="AZ650" s="36"/>
      <c r="BA650" s="36"/>
      <c r="GH650" s="55"/>
      <c r="KD650" s="15"/>
      <c r="KE650" s="51"/>
      <c r="KH650" s="15"/>
      <c r="KI650" s="15"/>
    </row>
    <row r="651" spans="3:295">
      <c r="C651" s="1"/>
      <c r="AE651" s="51"/>
      <c r="AO651" s="49"/>
      <c r="AQ651" s="36"/>
      <c r="AR651" s="36"/>
      <c r="AS651" s="36"/>
      <c r="AT651" s="36"/>
      <c r="AU651" s="36"/>
      <c r="AV651" s="36"/>
      <c r="AW651" s="36"/>
      <c r="AX651" s="36"/>
      <c r="AY651" s="36"/>
      <c r="AZ651" s="36"/>
      <c r="BA651" s="36"/>
      <c r="GH651" s="55"/>
      <c r="KD651" s="15"/>
      <c r="KE651" s="51"/>
      <c r="KH651" s="15"/>
      <c r="KI651" s="15"/>
    </row>
    <row r="652" spans="3:295">
      <c r="C652" s="1"/>
      <c r="AE652" s="51"/>
      <c r="AO652" s="49"/>
      <c r="AQ652" s="36"/>
      <c r="AR652" s="36"/>
      <c r="AS652" s="36"/>
      <c r="AT652" s="36"/>
      <c r="AU652" s="36"/>
      <c r="AV652" s="36"/>
      <c r="AW652" s="36"/>
      <c r="AX652" s="36"/>
      <c r="AY652" s="36"/>
      <c r="AZ652" s="36"/>
      <c r="BA652" s="36"/>
      <c r="GH652" s="55"/>
      <c r="KD652" s="15"/>
      <c r="KE652" s="51"/>
      <c r="KH652" s="15"/>
      <c r="KI652" s="15"/>
    </row>
    <row r="653" spans="3:295">
      <c r="C653" s="1"/>
      <c r="AE653" s="51"/>
      <c r="AO653" s="49"/>
      <c r="AQ653" s="36"/>
      <c r="AR653" s="36"/>
      <c r="AS653" s="36"/>
      <c r="AT653" s="36"/>
      <c r="AU653" s="36"/>
      <c r="AV653" s="36"/>
      <c r="AW653" s="36"/>
      <c r="AX653" s="36"/>
      <c r="AY653" s="36"/>
      <c r="AZ653" s="36"/>
      <c r="BA653" s="36"/>
      <c r="GH653" s="55"/>
      <c r="KD653" s="15"/>
      <c r="KE653" s="51"/>
      <c r="KH653" s="15"/>
      <c r="KI653" s="15"/>
    </row>
    <row r="654" spans="3:295">
      <c r="C654" s="1"/>
      <c r="AE654" s="51"/>
      <c r="AO654" s="49"/>
      <c r="AQ654" s="36"/>
      <c r="AR654" s="36"/>
      <c r="AS654" s="36"/>
      <c r="AT654" s="36"/>
      <c r="AU654" s="36"/>
      <c r="AV654" s="36"/>
      <c r="AW654" s="36"/>
      <c r="AX654" s="36"/>
      <c r="AY654" s="36"/>
      <c r="AZ654" s="36"/>
      <c r="BA654" s="36"/>
      <c r="GH654" s="55"/>
      <c r="KD654" s="15"/>
      <c r="KE654" s="51"/>
      <c r="KH654" s="15"/>
      <c r="KI654" s="15"/>
    </row>
    <row r="655" spans="3:295">
      <c r="C655" s="1"/>
      <c r="AE655" s="51"/>
      <c r="AO655" s="49"/>
      <c r="AQ655" s="36"/>
      <c r="AR655" s="36"/>
      <c r="AS655" s="36"/>
      <c r="AT655" s="36"/>
      <c r="AU655" s="36"/>
      <c r="AV655" s="36"/>
      <c r="AW655" s="36"/>
      <c r="AX655" s="36"/>
      <c r="AY655" s="36"/>
      <c r="AZ655" s="36"/>
      <c r="BA655" s="36"/>
      <c r="GH655" s="55"/>
      <c r="KD655" s="15"/>
      <c r="KE655" s="51"/>
      <c r="KH655" s="15"/>
      <c r="KI655" s="15"/>
    </row>
    <row r="656" spans="3:295">
      <c r="C656" s="1"/>
      <c r="AE656" s="51"/>
      <c r="AO656" s="49"/>
      <c r="AQ656" s="36"/>
      <c r="AR656" s="36"/>
      <c r="AS656" s="36"/>
      <c r="AT656" s="36"/>
      <c r="AU656" s="36"/>
      <c r="AV656" s="36"/>
      <c r="AW656" s="36"/>
      <c r="AX656" s="36"/>
      <c r="AY656" s="36"/>
      <c r="AZ656" s="36"/>
      <c r="BA656" s="36"/>
      <c r="GH656" s="55"/>
      <c r="KD656" s="15"/>
      <c r="KE656" s="51"/>
      <c r="KH656" s="15"/>
      <c r="KI656" s="15"/>
    </row>
    <row r="657" spans="3:295">
      <c r="C657" s="1"/>
      <c r="AE657" s="51"/>
      <c r="AO657" s="49"/>
      <c r="AQ657" s="36"/>
      <c r="AR657" s="36"/>
      <c r="AS657" s="36"/>
      <c r="AT657" s="36"/>
      <c r="AU657" s="36"/>
      <c r="AV657" s="36"/>
      <c r="AW657" s="36"/>
      <c r="AX657" s="36"/>
      <c r="AY657" s="36"/>
      <c r="AZ657" s="36"/>
      <c r="BA657" s="36"/>
      <c r="GH657" s="55"/>
      <c r="KD657" s="15"/>
      <c r="KE657" s="51"/>
      <c r="KH657" s="15"/>
      <c r="KI657" s="15"/>
    </row>
    <row r="658" spans="3:295">
      <c r="C658" s="1"/>
      <c r="AE658" s="51"/>
      <c r="AO658" s="49"/>
      <c r="AQ658" s="36"/>
      <c r="AR658" s="36"/>
      <c r="AS658" s="36"/>
      <c r="AT658" s="36"/>
      <c r="AU658" s="36"/>
      <c r="AV658" s="36"/>
      <c r="AW658" s="36"/>
      <c r="AX658" s="36"/>
      <c r="AY658" s="36"/>
      <c r="AZ658" s="36"/>
      <c r="BA658" s="36"/>
      <c r="GH658" s="55"/>
      <c r="KD658" s="15"/>
      <c r="KE658" s="51"/>
      <c r="KH658" s="15"/>
      <c r="KI658" s="15"/>
    </row>
    <row r="659" spans="3:295">
      <c r="C659" s="1"/>
      <c r="AE659" s="51"/>
      <c r="AO659" s="49"/>
      <c r="AQ659" s="36"/>
      <c r="AR659" s="36"/>
      <c r="AS659" s="36"/>
      <c r="AT659" s="36"/>
      <c r="AU659" s="36"/>
      <c r="AV659" s="36"/>
      <c r="AW659" s="36"/>
      <c r="AX659" s="36"/>
      <c r="AY659" s="36"/>
      <c r="AZ659" s="36"/>
      <c r="BA659" s="36"/>
      <c r="GH659" s="55"/>
      <c r="KD659" s="15"/>
      <c r="KE659" s="51"/>
      <c r="KH659" s="15"/>
      <c r="KI659" s="15"/>
    </row>
    <row r="660" spans="3:295">
      <c r="C660" s="1"/>
      <c r="AE660" s="51"/>
      <c r="AO660" s="49"/>
      <c r="AQ660" s="36"/>
      <c r="AR660" s="36"/>
      <c r="AS660" s="36"/>
      <c r="AT660" s="36"/>
      <c r="AU660" s="36"/>
      <c r="AV660" s="36"/>
      <c r="AW660" s="36"/>
      <c r="AX660" s="36"/>
      <c r="AY660" s="36"/>
      <c r="AZ660" s="36"/>
      <c r="BA660" s="36"/>
      <c r="GH660" s="55"/>
      <c r="KD660" s="15"/>
      <c r="KE660" s="51"/>
      <c r="KH660" s="15"/>
      <c r="KI660" s="15"/>
    </row>
    <row r="661" spans="3:295">
      <c r="C661" s="1"/>
      <c r="AE661" s="51"/>
      <c r="AO661" s="49"/>
      <c r="AQ661" s="36"/>
      <c r="AR661" s="36"/>
      <c r="AS661" s="36"/>
      <c r="AT661" s="36"/>
      <c r="AU661" s="36"/>
      <c r="AV661" s="36"/>
      <c r="AW661" s="36"/>
      <c r="AX661" s="36"/>
      <c r="AY661" s="36"/>
      <c r="AZ661" s="36"/>
      <c r="BA661" s="36"/>
      <c r="GH661" s="55"/>
      <c r="KD661" s="15"/>
      <c r="KE661" s="51"/>
      <c r="KH661" s="15"/>
      <c r="KI661" s="15"/>
    </row>
    <row r="662" spans="3:295">
      <c r="C662" s="1"/>
      <c r="AE662" s="51"/>
      <c r="AO662" s="49"/>
      <c r="AQ662" s="36"/>
      <c r="AR662" s="36"/>
      <c r="AS662" s="36"/>
      <c r="AT662" s="36"/>
      <c r="AU662" s="36"/>
      <c r="AV662" s="36"/>
      <c r="AW662" s="36"/>
      <c r="AX662" s="36"/>
      <c r="AY662" s="36"/>
      <c r="AZ662" s="36"/>
      <c r="BA662" s="36"/>
      <c r="GH662" s="55"/>
      <c r="KD662" s="15"/>
      <c r="KE662" s="51"/>
      <c r="KH662" s="15"/>
      <c r="KI662" s="15"/>
    </row>
    <row r="663" spans="3:295">
      <c r="C663" s="1"/>
      <c r="AE663" s="51"/>
      <c r="AO663" s="49"/>
      <c r="AQ663" s="36"/>
      <c r="AR663" s="36"/>
      <c r="AS663" s="36"/>
      <c r="AT663" s="36"/>
      <c r="AU663" s="36"/>
      <c r="AV663" s="36"/>
      <c r="AW663" s="36"/>
      <c r="AX663" s="36"/>
      <c r="AY663" s="36"/>
      <c r="AZ663" s="36"/>
      <c r="BA663" s="36"/>
      <c r="GH663" s="55"/>
      <c r="KD663" s="15"/>
      <c r="KE663" s="51"/>
      <c r="KH663" s="15"/>
      <c r="KI663" s="15"/>
    </row>
    <row r="664" spans="3:295">
      <c r="C664" s="1"/>
      <c r="AE664" s="51"/>
      <c r="AO664" s="49"/>
      <c r="AQ664" s="36"/>
      <c r="AR664" s="36"/>
      <c r="AS664" s="36"/>
      <c r="AT664" s="36"/>
      <c r="AU664" s="36"/>
      <c r="AV664" s="36"/>
      <c r="AW664" s="36"/>
      <c r="AX664" s="36"/>
      <c r="AY664" s="36"/>
      <c r="AZ664" s="36"/>
      <c r="BA664" s="36"/>
      <c r="GH664" s="55"/>
      <c r="KD664" s="15"/>
      <c r="KE664" s="51"/>
      <c r="KH664" s="15"/>
      <c r="KI664" s="15"/>
    </row>
    <row r="665" spans="3:295">
      <c r="C665" s="1"/>
      <c r="AE665" s="51"/>
      <c r="AO665" s="49"/>
      <c r="AQ665" s="36"/>
      <c r="AR665" s="36"/>
      <c r="AS665" s="36"/>
      <c r="AT665" s="36"/>
      <c r="AU665" s="36"/>
      <c r="AV665" s="36"/>
      <c r="AW665" s="36"/>
      <c r="AX665" s="36"/>
      <c r="AY665" s="36"/>
      <c r="AZ665" s="36"/>
      <c r="BA665" s="36"/>
      <c r="GH665" s="55"/>
      <c r="KD665" s="15"/>
      <c r="KE665" s="51"/>
      <c r="KH665" s="15"/>
      <c r="KI665" s="15"/>
    </row>
    <row r="666" spans="3:295">
      <c r="C666" s="1"/>
      <c r="AE666" s="51"/>
      <c r="AO666" s="49"/>
      <c r="AQ666" s="36"/>
      <c r="AR666" s="36"/>
      <c r="AS666" s="36"/>
      <c r="AT666" s="36"/>
      <c r="AU666" s="36"/>
      <c r="AV666" s="36"/>
      <c r="AW666" s="36"/>
      <c r="AX666" s="36"/>
      <c r="AY666" s="36"/>
      <c r="AZ666" s="36"/>
      <c r="BA666" s="36"/>
      <c r="GH666" s="55"/>
      <c r="KD666" s="15"/>
      <c r="KE666" s="51"/>
      <c r="KH666" s="15"/>
      <c r="KI666" s="15"/>
    </row>
    <row r="667" spans="3:295">
      <c r="C667" s="1"/>
      <c r="AE667" s="51"/>
      <c r="AO667" s="49"/>
      <c r="AQ667" s="36"/>
      <c r="AR667" s="36"/>
      <c r="AS667" s="36"/>
      <c r="AT667" s="36"/>
      <c r="AU667" s="36"/>
      <c r="AV667" s="36"/>
      <c r="AW667" s="36"/>
      <c r="AX667" s="36"/>
      <c r="AY667" s="36"/>
      <c r="AZ667" s="36"/>
      <c r="BA667" s="36"/>
      <c r="GH667" s="55"/>
      <c r="KD667" s="15"/>
      <c r="KE667" s="51"/>
      <c r="KH667" s="15"/>
      <c r="KI667" s="15"/>
    </row>
    <row r="668" spans="3:295">
      <c r="C668" s="1"/>
      <c r="AE668" s="51"/>
      <c r="AO668" s="49"/>
      <c r="AQ668" s="36"/>
      <c r="AR668" s="36"/>
      <c r="AS668" s="36"/>
      <c r="AT668" s="36"/>
      <c r="AU668" s="36"/>
      <c r="AV668" s="36"/>
      <c r="AW668" s="36"/>
      <c r="AX668" s="36"/>
      <c r="AY668" s="36"/>
      <c r="AZ668" s="36"/>
      <c r="BA668" s="36"/>
      <c r="GH668" s="55"/>
      <c r="KD668" s="15"/>
      <c r="KE668" s="51"/>
      <c r="KH668" s="15"/>
      <c r="KI668" s="15"/>
    </row>
    <row r="669" spans="3:295">
      <c r="C669" s="1"/>
      <c r="AE669" s="51"/>
      <c r="AO669" s="49"/>
      <c r="AQ669" s="36"/>
      <c r="AR669" s="36"/>
      <c r="AS669" s="36"/>
      <c r="AT669" s="36"/>
      <c r="AU669" s="36"/>
      <c r="AV669" s="36"/>
      <c r="AW669" s="36"/>
      <c r="AX669" s="36"/>
      <c r="AY669" s="36"/>
      <c r="AZ669" s="36"/>
      <c r="BA669" s="36"/>
      <c r="GH669" s="55"/>
      <c r="KD669" s="15"/>
      <c r="KE669" s="51"/>
      <c r="KH669" s="15"/>
      <c r="KI669" s="15"/>
    </row>
    <row r="670" spans="3:295">
      <c r="C670" s="1"/>
      <c r="AE670" s="51"/>
      <c r="AO670" s="49"/>
      <c r="AQ670" s="36"/>
      <c r="AR670" s="36"/>
      <c r="AS670" s="36"/>
      <c r="AT670" s="36"/>
      <c r="AU670" s="36"/>
      <c r="AV670" s="36"/>
      <c r="AW670" s="36"/>
      <c r="AX670" s="36"/>
      <c r="AY670" s="36"/>
      <c r="AZ670" s="36"/>
      <c r="BA670" s="36"/>
      <c r="GH670" s="55"/>
      <c r="KD670" s="15"/>
      <c r="KE670" s="51"/>
      <c r="KH670" s="15"/>
      <c r="KI670" s="15"/>
    </row>
    <row r="671" spans="3:295">
      <c r="C671" s="1"/>
      <c r="AE671" s="51"/>
      <c r="AO671" s="49"/>
      <c r="AQ671" s="36"/>
      <c r="AR671" s="36"/>
      <c r="AS671" s="36"/>
      <c r="AT671" s="36"/>
      <c r="AU671" s="36"/>
      <c r="AV671" s="36"/>
      <c r="AW671" s="36"/>
      <c r="AX671" s="36"/>
      <c r="AY671" s="36"/>
      <c r="AZ671" s="36"/>
      <c r="BA671" s="36"/>
      <c r="GH671" s="55"/>
      <c r="KD671" s="15"/>
      <c r="KE671" s="51"/>
      <c r="KH671" s="15"/>
      <c r="KI671" s="15"/>
    </row>
    <row r="672" spans="3:295">
      <c r="C672" s="1"/>
      <c r="AE672" s="51"/>
      <c r="AO672" s="49"/>
      <c r="AQ672" s="36"/>
      <c r="AR672" s="36"/>
      <c r="AS672" s="36"/>
      <c r="AT672" s="36"/>
      <c r="AU672" s="36"/>
      <c r="AV672" s="36"/>
      <c r="AW672" s="36"/>
      <c r="AX672" s="36"/>
      <c r="AY672" s="36"/>
      <c r="AZ672" s="36"/>
      <c r="BA672" s="36"/>
      <c r="GH672" s="55"/>
      <c r="KD672" s="15"/>
      <c r="KE672" s="51"/>
      <c r="KH672" s="15"/>
      <c r="KI672" s="15"/>
    </row>
    <row r="673" spans="3:295">
      <c r="C673" s="1"/>
      <c r="AE673" s="51"/>
      <c r="AO673" s="49"/>
      <c r="AQ673" s="36"/>
      <c r="AR673" s="36"/>
      <c r="AS673" s="36"/>
      <c r="AT673" s="36"/>
      <c r="AU673" s="36"/>
      <c r="AV673" s="36"/>
      <c r="AW673" s="36"/>
      <c r="AX673" s="36"/>
      <c r="AY673" s="36"/>
      <c r="AZ673" s="36"/>
      <c r="BA673" s="36"/>
      <c r="GH673" s="55"/>
      <c r="KD673" s="15"/>
      <c r="KE673" s="51"/>
      <c r="KH673" s="15"/>
      <c r="KI673" s="15"/>
    </row>
    <row r="674" spans="3:295">
      <c r="C674" s="1"/>
      <c r="AE674" s="51"/>
      <c r="AO674" s="49"/>
      <c r="AQ674" s="36"/>
      <c r="AR674" s="36"/>
      <c r="AS674" s="36"/>
      <c r="AT674" s="36"/>
      <c r="AU674" s="36"/>
      <c r="AV674" s="36"/>
      <c r="AW674" s="36"/>
      <c r="AX674" s="36"/>
      <c r="AY674" s="36"/>
      <c r="AZ674" s="36"/>
      <c r="BA674" s="36"/>
      <c r="GH674" s="55"/>
      <c r="KD674" s="15"/>
      <c r="KE674" s="51"/>
      <c r="KH674" s="15"/>
      <c r="KI674" s="15"/>
    </row>
    <row r="675" spans="3:295">
      <c r="C675" s="1"/>
      <c r="AE675" s="51"/>
      <c r="AO675" s="49"/>
      <c r="AQ675" s="36"/>
      <c r="AR675" s="36"/>
      <c r="AS675" s="36"/>
      <c r="AT675" s="36"/>
      <c r="AU675" s="36"/>
      <c r="AV675" s="36"/>
      <c r="AW675" s="36"/>
      <c r="AX675" s="36"/>
      <c r="AY675" s="36"/>
      <c r="AZ675" s="36"/>
      <c r="BA675" s="36"/>
      <c r="GH675" s="55"/>
      <c r="KD675" s="15"/>
      <c r="KE675" s="51"/>
      <c r="KH675" s="15"/>
      <c r="KI675" s="15"/>
    </row>
    <row r="676" spans="3:295">
      <c r="C676" s="1"/>
      <c r="AE676" s="51"/>
      <c r="AO676" s="49"/>
      <c r="AQ676" s="36"/>
      <c r="AR676" s="36"/>
      <c r="AS676" s="36"/>
      <c r="AT676" s="36"/>
      <c r="AU676" s="36"/>
      <c r="AV676" s="36"/>
      <c r="AW676" s="36"/>
      <c r="AX676" s="36"/>
      <c r="AY676" s="36"/>
      <c r="AZ676" s="36"/>
      <c r="BA676" s="36"/>
      <c r="GH676" s="55"/>
      <c r="KD676" s="15"/>
      <c r="KE676" s="51"/>
      <c r="KH676" s="15"/>
      <c r="KI676" s="15"/>
    </row>
    <row r="677" spans="3:295">
      <c r="C677" s="1"/>
      <c r="AE677" s="51"/>
      <c r="AO677" s="49"/>
      <c r="AQ677" s="36"/>
      <c r="AR677" s="36"/>
      <c r="AS677" s="36"/>
      <c r="AT677" s="36"/>
      <c r="AU677" s="36"/>
      <c r="AV677" s="36"/>
      <c r="AW677" s="36"/>
      <c r="AX677" s="36"/>
      <c r="AY677" s="36"/>
      <c r="AZ677" s="36"/>
      <c r="BA677" s="36"/>
      <c r="GH677" s="55"/>
      <c r="KD677" s="15"/>
      <c r="KE677" s="51"/>
      <c r="KH677" s="15"/>
      <c r="KI677" s="15"/>
    </row>
    <row r="678" spans="3:295">
      <c r="C678" s="1"/>
      <c r="AE678" s="51"/>
      <c r="AO678" s="49"/>
      <c r="AQ678" s="36"/>
      <c r="AR678" s="36"/>
      <c r="AS678" s="36"/>
      <c r="AT678" s="36"/>
      <c r="AU678" s="36"/>
      <c r="AV678" s="36"/>
      <c r="AW678" s="36"/>
      <c r="AX678" s="36"/>
      <c r="AY678" s="36"/>
      <c r="AZ678" s="36"/>
      <c r="BA678" s="36"/>
      <c r="GH678" s="55"/>
      <c r="KD678" s="15"/>
      <c r="KE678" s="51"/>
      <c r="KH678" s="15"/>
      <c r="KI678" s="15"/>
    </row>
    <row r="679" spans="3:295">
      <c r="C679" s="1"/>
      <c r="AE679" s="51"/>
      <c r="AO679" s="49"/>
      <c r="AQ679" s="36"/>
      <c r="AR679" s="36"/>
      <c r="AS679" s="36"/>
      <c r="AT679" s="36"/>
      <c r="AU679" s="36"/>
      <c r="AV679" s="36"/>
      <c r="AW679" s="36"/>
      <c r="AX679" s="36"/>
      <c r="AY679" s="36"/>
      <c r="AZ679" s="36"/>
      <c r="BA679" s="36"/>
      <c r="GH679" s="55"/>
      <c r="KD679" s="15"/>
      <c r="KE679" s="51"/>
      <c r="KH679" s="15"/>
      <c r="KI679" s="15"/>
    </row>
    <row r="680" spans="3:295">
      <c r="C680" s="1"/>
      <c r="AE680" s="51"/>
      <c r="AO680" s="49"/>
      <c r="AQ680" s="36"/>
      <c r="AR680" s="36"/>
      <c r="AS680" s="36"/>
      <c r="AT680" s="36"/>
      <c r="AU680" s="36"/>
      <c r="AV680" s="36"/>
      <c r="AW680" s="36"/>
      <c r="AX680" s="36"/>
      <c r="AY680" s="36"/>
      <c r="AZ680" s="36"/>
      <c r="BA680" s="36"/>
      <c r="GH680" s="55"/>
      <c r="KD680" s="15"/>
      <c r="KE680" s="51"/>
      <c r="KH680" s="15"/>
      <c r="KI680" s="15"/>
    </row>
    <row r="681" spans="3:295">
      <c r="C681" s="1"/>
      <c r="AE681" s="51"/>
      <c r="AO681" s="49"/>
      <c r="AQ681" s="36"/>
      <c r="AR681" s="36"/>
      <c r="AS681" s="36"/>
      <c r="AT681" s="36"/>
      <c r="AU681" s="36"/>
      <c r="AV681" s="36"/>
      <c r="AW681" s="36"/>
      <c r="AX681" s="36"/>
      <c r="AY681" s="36"/>
      <c r="AZ681" s="36"/>
      <c r="BA681" s="36"/>
      <c r="GH681" s="55"/>
      <c r="KD681" s="15"/>
      <c r="KE681" s="51"/>
      <c r="KH681" s="15"/>
      <c r="KI681" s="15"/>
    </row>
    <row r="682" spans="3:295">
      <c r="C682" s="1"/>
      <c r="AE682" s="51"/>
      <c r="AO682" s="49"/>
      <c r="AQ682" s="36"/>
      <c r="AR682" s="36"/>
      <c r="AS682" s="36"/>
      <c r="AT682" s="36"/>
      <c r="AU682" s="36"/>
      <c r="AV682" s="36"/>
      <c r="AW682" s="36"/>
      <c r="AX682" s="36"/>
      <c r="AY682" s="36"/>
      <c r="AZ682" s="36"/>
      <c r="BA682" s="36"/>
      <c r="GH682" s="55"/>
      <c r="KD682" s="15"/>
      <c r="KE682" s="51"/>
      <c r="KH682" s="15"/>
      <c r="KI682" s="15"/>
    </row>
    <row r="683" spans="3:295">
      <c r="C683" s="1"/>
      <c r="AE683" s="51"/>
      <c r="AO683" s="49"/>
      <c r="AQ683" s="36"/>
      <c r="AR683" s="36"/>
      <c r="AS683" s="36"/>
      <c r="AT683" s="36"/>
      <c r="AU683" s="36"/>
      <c r="AV683" s="36"/>
      <c r="AW683" s="36"/>
      <c r="AX683" s="36"/>
      <c r="AY683" s="36"/>
      <c r="AZ683" s="36"/>
      <c r="BA683" s="36"/>
      <c r="GH683" s="55"/>
      <c r="KD683" s="15"/>
      <c r="KE683" s="51"/>
      <c r="KH683" s="15"/>
      <c r="KI683" s="15"/>
    </row>
    <row r="684" spans="3:295">
      <c r="C684" s="1"/>
      <c r="AE684" s="51"/>
      <c r="AO684" s="49"/>
      <c r="AQ684" s="36"/>
      <c r="AR684" s="36"/>
      <c r="AS684" s="36"/>
      <c r="AT684" s="36"/>
      <c r="AU684" s="36"/>
      <c r="AV684" s="36"/>
      <c r="AW684" s="36"/>
      <c r="AX684" s="36"/>
      <c r="AY684" s="36"/>
      <c r="AZ684" s="36"/>
      <c r="BA684" s="36"/>
      <c r="GH684" s="55"/>
      <c r="KD684" s="15"/>
      <c r="KE684" s="51"/>
      <c r="KH684" s="15"/>
      <c r="KI684" s="15"/>
    </row>
    <row r="685" spans="3:295">
      <c r="C685" s="1"/>
      <c r="AE685" s="51"/>
      <c r="AO685" s="49"/>
      <c r="AQ685" s="36"/>
      <c r="AR685" s="36"/>
      <c r="AS685" s="36"/>
      <c r="AT685" s="36"/>
      <c r="AU685" s="36"/>
      <c r="AV685" s="36"/>
      <c r="AW685" s="36"/>
      <c r="AX685" s="36"/>
      <c r="AY685" s="36"/>
      <c r="AZ685" s="36"/>
      <c r="BA685" s="36"/>
      <c r="GH685" s="55"/>
      <c r="KD685" s="15"/>
      <c r="KE685" s="51"/>
      <c r="KH685" s="15"/>
      <c r="KI685" s="15"/>
    </row>
    <row r="686" spans="3:295">
      <c r="C686" s="1"/>
      <c r="AE686" s="51"/>
      <c r="AO686" s="49"/>
      <c r="AQ686" s="36"/>
      <c r="AR686" s="36"/>
      <c r="AS686" s="36"/>
      <c r="AT686" s="36"/>
      <c r="AU686" s="36"/>
      <c r="AV686" s="36"/>
      <c r="AW686" s="36"/>
      <c r="AX686" s="36"/>
      <c r="AY686" s="36"/>
      <c r="AZ686" s="36"/>
      <c r="BA686" s="36"/>
      <c r="GH686" s="55"/>
      <c r="KD686" s="15"/>
      <c r="KE686" s="51"/>
      <c r="KH686" s="15"/>
      <c r="KI686" s="15"/>
    </row>
    <row r="687" spans="3:295">
      <c r="C687" s="1"/>
      <c r="AE687" s="51"/>
      <c r="AO687" s="49"/>
      <c r="AQ687" s="36"/>
      <c r="AR687" s="36"/>
      <c r="AS687" s="36"/>
      <c r="AT687" s="36"/>
      <c r="AU687" s="36"/>
      <c r="AV687" s="36"/>
      <c r="AW687" s="36"/>
      <c r="AX687" s="36"/>
      <c r="AY687" s="36"/>
      <c r="AZ687" s="36"/>
      <c r="BA687" s="36"/>
      <c r="GH687" s="55"/>
      <c r="KD687" s="15"/>
      <c r="KE687" s="51"/>
      <c r="KH687" s="15"/>
      <c r="KI687" s="15"/>
    </row>
    <row r="688" spans="3:295">
      <c r="C688" s="1"/>
      <c r="AE688" s="51"/>
      <c r="AO688" s="49"/>
      <c r="AQ688" s="36"/>
      <c r="AR688" s="36"/>
      <c r="AS688" s="36"/>
      <c r="AT688" s="36"/>
      <c r="AU688" s="36"/>
      <c r="AV688" s="36"/>
      <c r="AW688" s="36"/>
      <c r="AX688" s="36"/>
      <c r="AY688" s="36"/>
      <c r="AZ688" s="36"/>
      <c r="BA688" s="36"/>
      <c r="GH688" s="55"/>
      <c r="KD688" s="15"/>
      <c r="KE688" s="51"/>
      <c r="KH688" s="15"/>
      <c r="KI688" s="15"/>
    </row>
    <row r="689" spans="3:295">
      <c r="C689" s="1"/>
      <c r="AE689" s="51"/>
      <c r="AO689" s="49"/>
      <c r="AQ689" s="36"/>
      <c r="AR689" s="36"/>
      <c r="AS689" s="36"/>
      <c r="AT689" s="36"/>
      <c r="AU689" s="36"/>
      <c r="AV689" s="36"/>
      <c r="AW689" s="36"/>
      <c r="AX689" s="36"/>
      <c r="AY689" s="36"/>
      <c r="AZ689" s="36"/>
      <c r="BA689" s="36"/>
      <c r="GH689" s="55"/>
      <c r="KD689" s="15"/>
      <c r="KE689" s="51"/>
      <c r="KH689" s="15"/>
      <c r="KI689" s="15"/>
    </row>
    <row r="690" spans="3:295">
      <c r="C690" s="1"/>
      <c r="AE690" s="51"/>
      <c r="AO690" s="49"/>
      <c r="AQ690" s="36"/>
      <c r="AR690" s="36"/>
      <c r="AS690" s="36"/>
      <c r="AT690" s="36"/>
      <c r="AU690" s="36"/>
      <c r="AV690" s="36"/>
      <c r="AW690" s="36"/>
      <c r="AX690" s="36"/>
      <c r="AY690" s="36"/>
      <c r="AZ690" s="36"/>
      <c r="BA690" s="36"/>
      <c r="GH690" s="55"/>
      <c r="KD690" s="15"/>
      <c r="KE690" s="51"/>
      <c r="KH690" s="15"/>
      <c r="KI690" s="15"/>
    </row>
    <row r="691" spans="3:295">
      <c r="C691" s="1"/>
      <c r="AE691" s="51"/>
      <c r="AO691" s="49"/>
      <c r="AQ691" s="36"/>
      <c r="AR691" s="36"/>
      <c r="AS691" s="36"/>
      <c r="AT691" s="36"/>
      <c r="AU691" s="36"/>
      <c r="AV691" s="36"/>
      <c r="AW691" s="36"/>
      <c r="AX691" s="36"/>
      <c r="AY691" s="36"/>
      <c r="AZ691" s="36"/>
      <c r="BA691" s="36"/>
      <c r="GH691" s="55"/>
      <c r="KD691" s="15"/>
      <c r="KE691" s="51"/>
      <c r="KH691" s="15"/>
      <c r="KI691" s="15"/>
    </row>
    <row r="692" spans="3:295">
      <c r="C692" s="1"/>
      <c r="AE692" s="51"/>
      <c r="AO692" s="49"/>
      <c r="AQ692" s="36"/>
      <c r="AR692" s="36"/>
      <c r="AS692" s="36"/>
      <c r="AT692" s="36"/>
      <c r="AU692" s="36"/>
      <c r="AV692" s="36"/>
      <c r="AW692" s="36"/>
      <c r="AX692" s="36"/>
      <c r="AY692" s="36"/>
      <c r="AZ692" s="36"/>
      <c r="BA692" s="36"/>
      <c r="GH692" s="55"/>
      <c r="KD692" s="15"/>
      <c r="KE692" s="51"/>
      <c r="KH692" s="15"/>
      <c r="KI692" s="15"/>
    </row>
    <row r="693" spans="3:295">
      <c r="C693" s="1"/>
      <c r="AE693" s="51"/>
      <c r="AO693" s="49"/>
      <c r="AQ693" s="36"/>
      <c r="AR693" s="36"/>
      <c r="AS693" s="36"/>
      <c r="AT693" s="36"/>
      <c r="AU693" s="36"/>
      <c r="AV693" s="36"/>
      <c r="AW693" s="36"/>
      <c r="AX693" s="36"/>
      <c r="AY693" s="36"/>
      <c r="AZ693" s="36"/>
      <c r="BA693" s="36"/>
      <c r="GH693" s="55"/>
      <c r="KD693" s="15"/>
      <c r="KE693" s="51"/>
      <c r="KH693" s="15"/>
      <c r="KI693" s="15"/>
    </row>
    <row r="694" spans="3:295">
      <c r="C694" s="1"/>
      <c r="AE694" s="51"/>
      <c r="AO694" s="49"/>
      <c r="AQ694" s="36"/>
      <c r="AR694" s="36"/>
      <c r="AS694" s="36"/>
      <c r="AT694" s="36"/>
      <c r="AU694" s="36"/>
      <c r="AV694" s="36"/>
      <c r="AW694" s="36"/>
      <c r="AX694" s="36"/>
      <c r="AY694" s="36"/>
      <c r="AZ694" s="36"/>
      <c r="BA694" s="36"/>
      <c r="GH694" s="55"/>
      <c r="KD694" s="15"/>
      <c r="KE694" s="51"/>
      <c r="KH694" s="15"/>
      <c r="KI694" s="15"/>
    </row>
    <row r="695" spans="3:295">
      <c r="C695" s="1"/>
      <c r="AE695" s="51"/>
      <c r="AO695" s="49"/>
      <c r="AQ695" s="36"/>
      <c r="AR695" s="36"/>
      <c r="AS695" s="36"/>
      <c r="AT695" s="36"/>
      <c r="AU695" s="36"/>
      <c r="AV695" s="36"/>
      <c r="AW695" s="36"/>
      <c r="AX695" s="36"/>
      <c r="AY695" s="36"/>
      <c r="AZ695" s="36"/>
      <c r="BA695" s="36"/>
      <c r="GH695" s="55"/>
      <c r="KD695" s="15"/>
      <c r="KE695" s="51"/>
      <c r="KH695" s="15"/>
      <c r="KI695" s="15"/>
    </row>
    <row r="696" spans="3:295">
      <c r="C696" s="1"/>
      <c r="AE696" s="51"/>
      <c r="AO696" s="49"/>
      <c r="AQ696" s="36"/>
      <c r="AR696" s="36"/>
      <c r="AS696" s="36"/>
      <c r="AT696" s="36"/>
      <c r="AU696" s="36"/>
      <c r="AV696" s="36"/>
      <c r="AW696" s="36"/>
      <c r="AX696" s="36"/>
      <c r="AY696" s="36"/>
      <c r="AZ696" s="36"/>
      <c r="BA696" s="36"/>
      <c r="GH696" s="55"/>
      <c r="KD696" s="15"/>
      <c r="KE696" s="51"/>
      <c r="KH696" s="15"/>
      <c r="KI696" s="15"/>
    </row>
    <row r="697" spans="3:295">
      <c r="C697" s="1"/>
      <c r="AE697" s="51"/>
      <c r="AO697" s="49"/>
      <c r="AQ697" s="36"/>
      <c r="AR697" s="36"/>
      <c r="AS697" s="36"/>
      <c r="AT697" s="36"/>
      <c r="AU697" s="36"/>
      <c r="AV697" s="36"/>
      <c r="AW697" s="36"/>
      <c r="AX697" s="36"/>
      <c r="AY697" s="36"/>
      <c r="AZ697" s="36"/>
      <c r="BA697" s="36"/>
      <c r="GH697" s="55"/>
      <c r="KD697" s="15"/>
      <c r="KE697" s="51"/>
      <c r="KH697" s="15"/>
      <c r="KI697" s="15"/>
    </row>
    <row r="698" spans="3:295">
      <c r="C698" s="1"/>
      <c r="AE698" s="51"/>
      <c r="AO698" s="49"/>
      <c r="AQ698" s="36"/>
      <c r="AR698" s="36"/>
      <c r="AS698" s="36"/>
      <c r="AT698" s="36"/>
      <c r="AU698" s="36"/>
      <c r="AV698" s="36"/>
      <c r="AW698" s="36"/>
      <c r="AX698" s="36"/>
      <c r="AY698" s="36"/>
      <c r="AZ698" s="36"/>
      <c r="BA698" s="36"/>
      <c r="GH698" s="55"/>
      <c r="KD698" s="15"/>
      <c r="KE698" s="51"/>
      <c r="KH698" s="15"/>
      <c r="KI698" s="15"/>
    </row>
    <row r="699" spans="3:295">
      <c r="C699" s="1"/>
      <c r="AE699" s="51"/>
      <c r="AO699" s="49"/>
      <c r="AQ699" s="36"/>
      <c r="AR699" s="36"/>
      <c r="AS699" s="36"/>
      <c r="AT699" s="36"/>
      <c r="AU699" s="36"/>
      <c r="AV699" s="36"/>
      <c r="AW699" s="36"/>
      <c r="AX699" s="36"/>
      <c r="AY699" s="36"/>
      <c r="AZ699" s="36"/>
      <c r="BA699" s="36"/>
      <c r="GH699" s="55"/>
      <c r="KD699" s="15"/>
      <c r="KE699" s="51"/>
      <c r="KH699" s="15"/>
      <c r="KI699" s="15"/>
    </row>
    <row r="700" spans="3:295">
      <c r="C700" s="1"/>
      <c r="AE700" s="51"/>
      <c r="AO700" s="49"/>
      <c r="AQ700" s="36"/>
      <c r="AR700" s="36"/>
      <c r="AS700" s="36"/>
      <c r="AT700" s="36"/>
      <c r="AU700" s="36"/>
      <c r="AV700" s="36"/>
      <c r="AW700" s="36"/>
      <c r="AX700" s="36"/>
      <c r="AY700" s="36"/>
      <c r="AZ700" s="36"/>
      <c r="BA700" s="36"/>
      <c r="GH700" s="55"/>
      <c r="KD700" s="15"/>
      <c r="KE700" s="51"/>
      <c r="KH700" s="15"/>
      <c r="KI700" s="15"/>
    </row>
    <row r="701" spans="3:295">
      <c r="C701" s="1"/>
      <c r="AE701" s="51"/>
      <c r="AO701" s="49"/>
      <c r="AQ701" s="36"/>
      <c r="AR701" s="36"/>
      <c r="AS701" s="36"/>
      <c r="AT701" s="36"/>
      <c r="AU701" s="36"/>
      <c r="AV701" s="36"/>
      <c r="AW701" s="36"/>
      <c r="AX701" s="36"/>
      <c r="AY701" s="36"/>
      <c r="AZ701" s="36"/>
      <c r="BA701" s="36"/>
      <c r="GH701" s="55"/>
      <c r="KD701" s="15"/>
      <c r="KE701" s="51"/>
      <c r="KH701" s="15"/>
      <c r="KI701" s="15"/>
    </row>
    <row r="702" spans="3:295">
      <c r="C702" s="1"/>
      <c r="AE702" s="51"/>
      <c r="AO702" s="49"/>
      <c r="AQ702" s="36"/>
      <c r="AR702" s="36"/>
      <c r="AS702" s="36"/>
      <c r="AT702" s="36"/>
      <c r="AU702" s="36"/>
      <c r="AV702" s="36"/>
      <c r="AW702" s="36"/>
      <c r="AX702" s="36"/>
      <c r="AY702" s="36"/>
      <c r="AZ702" s="36"/>
      <c r="BA702" s="36"/>
      <c r="GH702" s="55"/>
      <c r="KD702" s="15"/>
      <c r="KE702" s="51"/>
      <c r="KH702" s="15"/>
      <c r="KI702" s="15"/>
    </row>
    <row r="703" spans="3:295">
      <c r="C703" s="1"/>
      <c r="AE703" s="51"/>
      <c r="AO703" s="49"/>
      <c r="AQ703" s="36"/>
      <c r="AR703" s="36"/>
      <c r="AS703" s="36"/>
      <c r="AT703" s="36"/>
      <c r="AU703" s="36"/>
      <c r="AV703" s="36"/>
      <c r="AW703" s="36"/>
      <c r="AX703" s="36"/>
      <c r="AY703" s="36"/>
      <c r="AZ703" s="36"/>
      <c r="BA703" s="36"/>
      <c r="GH703" s="55"/>
      <c r="KD703" s="15"/>
      <c r="KE703" s="51"/>
      <c r="KH703" s="15"/>
      <c r="KI703" s="15"/>
    </row>
    <row r="704" spans="3:295">
      <c r="C704" s="1"/>
      <c r="AE704" s="51"/>
      <c r="AO704" s="49"/>
      <c r="AQ704" s="36"/>
      <c r="AR704" s="36"/>
      <c r="AS704" s="36"/>
      <c r="AT704" s="36"/>
      <c r="AU704" s="36"/>
      <c r="AV704" s="36"/>
      <c r="AW704" s="36"/>
      <c r="AX704" s="36"/>
      <c r="AY704" s="36"/>
      <c r="AZ704" s="36"/>
      <c r="BA704" s="36"/>
      <c r="GH704" s="55"/>
      <c r="KD704" s="15"/>
      <c r="KE704" s="51"/>
      <c r="KH704" s="15"/>
      <c r="KI704" s="15"/>
    </row>
    <row r="705" spans="3:295">
      <c r="C705" s="1"/>
      <c r="AE705" s="51"/>
      <c r="AO705" s="49"/>
      <c r="AQ705" s="36"/>
      <c r="AR705" s="36"/>
      <c r="AS705" s="36"/>
      <c r="AT705" s="36"/>
      <c r="AU705" s="36"/>
      <c r="AV705" s="36"/>
      <c r="AW705" s="36"/>
      <c r="AX705" s="36"/>
      <c r="AY705" s="36"/>
      <c r="AZ705" s="36"/>
      <c r="BA705" s="36"/>
      <c r="GH705" s="55"/>
      <c r="KD705" s="15"/>
      <c r="KE705" s="51"/>
      <c r="KH705" s="15"/>
      <c r="KI705" s="15"/>
    </row>
    <row r="706" spans="3:295">
      <c r="C706" s="1"/>
      <c r="AE706" s="51"/>
      <c r="AO706" s="49"/>
      <c r="AQ706" s="36"/>
      <c r="AR706" s="36"/>
      <c r="AS706" s="36"/>
      <c r="AT706" s="36"/>
      <c r="AU706" s="36"/>
      <c r="AV706" s="36"/>
      <c r="AW706" s="36"/>
      <c r="AX706" s="36"/>
      <c r="AY706" s="36"/>
      <c r="AZ706" s="36"/>
      <c r="BA706" s="36"/>
      <c r="GH706" s="55"/>
      <c r="KD706" s="15"/>
      <c r="KE706" s="51"/>
      <c r="KH706" s="15"/>
      <c r="KI706" s="15"/>
    </row>
    <row r="707" spans="3:295">
      <c r="C707" s="1"/>
      <c r="AE707" s="51"/>
      <c r="AO707" s="49"/>
      <c r="AQ707" s="36"/>
      <c r="AR707" s="36"/>
      <c r="AS707" s="36"/>
      <c r="AT707" s="36"/>
      <c r="AU707" s="36"/>
      <c r="AV707" s="36"/>
      <c r="AW707" s="36"/>
      <c r="AX707" s="36"/>
      <c r="AY707" s="36"/>
      <c r="AZ707" s="36"/>
      <c r="BA707" s="36"/>
      <c r="GH707" s="55"/>
      <c r="KD707" s="15"/>
      <c r="KE707" s="51"/>
      <c r="KH707" s="15"/>
      <c r="KI707" s="15"/>
    </row>
    <row r="708" spans="3:295">
      <c r="C708" s="1"/>
      <c r="AE708" s="51"/>
      <c r="AO708" s="49"/>
      <c r="AQ708" s="36"/>
      <c r="AR708" s="36"/>
      <c r="AS708" s="36"/>
      <c r="AT708" s="36"/>
      <c r="AU708" s="36"/>
      <c r="AV708" s="36"/>
      <c r="AW708" s="36"/>
      <c r="AX708" s="36"/>
      <c r="AY708" s="36"/>
      <c r="AZ708" s="36"/>
      <c r="BA708" s="36"/>
      <c r="GH708" s="55"/>
      <c r="KD708" s="15"/>
      <c r="KE708" s="51"/>
      <c r="KH708" s="15"/>
      <c r="KI708" s="15"/>
    </row>
    <row r="709" spans="3:295">
      <c r="C709" s="1"/>
      <c r="AE709" s="51"/>
      <c r="AO709" s="49"/>
      <c r="AQ709" s="36"/>
      <c r="AR709" s="36"/>
      <c r="AS709" s="36"/>
      <c r="AT709" s="36"/>
      <c r="AU709" s="36"/>
      <c r="AV709" s="36"/>
      <c r="AW709" s="36"/>
      <c r="AX709" s="36"/>
      <c r="AY709" s="36"/>
      <c r="AZ709" s="36"/>
      <c r="BA709" s="36"/>
      <c r="GH709" s="55"/>
      <c r="KD709" s="15"/>
      <c r="KE709" s="51"/>
      <c r="KH709" s="15"/>
      <c r="KI709" s="15"/>
    </row>
    <row r="710" spans="3:295">
      <c r="C710" s="1"/>
      <c r="AE710" s="51"/>
      <c r="AO710" s="49"/>
      <c r="AQ710" s="36"/>
      <c r="AR710" s="36"/>
      <c r="AS710" s="36"/>
      <c r="AT710" s="36"/>
      <c r="AU710" s="36"/>
      <c r="AV710" s="36"/>
      <c r="AW710" s="36"/>
      <c r="AX710" s="36"/>
      <c r="AY710" s="36"/>
      <c r="AZ710" s="36"/>
      <c r="BA710" s="36"/>
      <c r="GH710" s="55"/>
      <c r="KD710" s="15"/>
      <c r="KE710" s="51"/>
      <c r="KH710" s="15"/>
      <c r="KI710" s="15"/>
    </row>
    <row r="711" spans="3:295">
      <c r="C711" s="1"/>
      <c r="AE711" s="51"/>
      <c r="AO711" s="49"/>
      <c r="AQ711" s="36"/>
      <c r="AR711" s="36"/>
      <c r="AS711" s="36"/>
      <c r="AT711" s="36"/>
      <c r="AU711" s="36"/>
      <c r="AV711" s="36"/>
      <c r="AW711" s="36"/>
      <c r="AX711" s="36"/>
      <c r="AY711" s="36"/>
      <c r="AZ711" s="36"/>
      <c r="BA711" s="36"/>
      <c r="GH711" s="55"/>
      <c r="KD711" s="15"/>
      <c r="KE711" s="51"/>
      <c r="KH711" s="15"/>
      <c r="KI711" s="15"/>
    </row>
    <row r="712" spans="3:295">
      <c r="C712" s="1"/>
      <c r="AE712" s="51"/>
      <c r="AO712" s="49"/>
      <c r="AQ712" s="36"/>
      <c r="AR712" s="36"/>
      <c r="AS712" s="36"/>
      <c r="AT712" s="36"/>
      <c r="AU712" s="36"/>
      <c r="AV712" s="36"/>
      <c r="AW712" s="36"/>
      <c r="AX712" s="36"/>
      <c r="AY712" s="36"/>
      <c r="AZ712" s="36"/>
      <c r="BA712" s="36"/>
      <c r="GH712" s="55"/>
      <c r="KD712" s="15"/>
      <c r="KE712" s="51"/>
      <c r="KH712" s="15"/>
      <c r="KI712" s="15"/>
    </row>
    <row r="713" spans="3:295">
      <c r="C713" s="1"/>
      <c r="AE713" s="51"/>
      <c r="AO713" s="49"/>
      <c r="AQ713" s="36"/>
      <c r="AR713" s="36"/>
      <c r="AS713" s="36"/>
      <c r="AT713" s="36"/>
      <c r="AU713" s="36"/>
      <c r="AV713" s="36"/>
      <c r="AW713" s="36"/>
      <c r="AX713" s="36"/>
      <c r="AY713" s="36"/>
      <c r="AZ713" s="36"/>
      <c r="BA713" s="36"/>
      <c r="GH713" s="55"/>
      <c r="KD713" s="15"/>
      <c r="KE713" s="51"/>
      <c r="KH713" s="15"/>
      <c r="KI713" s="15"/>
    </row>
    <row r="714" spans="3:295">
      <c r="C714" s="1"/>
      <c r="AE714" s="51"/>
      <c r="AO714" s="49"/>
      <c r="AQ714" s="36"/>
      <c r="AR714" s="36"/>
      <c r="AS714" s="36"/>
      <c r="AT714" s="36"/>
      <c r="AU714" s="36"/>
      <c r="AV714" s="36"/>
      <c r="AW714" s="36"/>
      <c r="AX714" s="36"/>
      <c r="AY714" s="36"/>
      <c r="AZ714" s="36"/>
      <c r="BA714" s="36"/>
      <c r="GH714" s="55"/>
      <c r="KD714" s="15"/>
      <c r="KE714" s="51"/>
      <c r="KH714" s="15"/>
      <c r="KI714" s="15"/>
    </row>
    <row r="715" spans="3:295">
      <c r="C715" s="1"/>
      <c r="AE715" s="51"/>
      <c r="AO715" s="49"/>
      <c r="AQ715" s="36"/>
      <c r="AR715" s="36"/>
      <c r="AS715" s="36"/>
      <c r="AT715" s="36"/>
      <c r="AU715" s="36"/>
      <c r="AV715" s="36"/>
      <c r="AW715" s="36"/>
      <c r="AX715" s="36"/>
      <c r="AY715" s="36"/>
      <c r="AZ715" s="36"/>
      <c r="BA715" s="36"/>
      <c r="GH715" s="55"/>
      <c r="KD715" s="15"/>
      <c r="KE715" s="51"/>
      <c r="KH715" s="15"/>
      <c r="KI715" s="15"/>
    </row>
    <row r="716" spans="3:295">
      <c r="C716" s="1"/>
      <c r="AE716" s="51"/>
      <c r="AO716" s="49"/>
      <c r="AQ716" s="36"/>
      <c r="AR716" s="36"/>
      <c r="AS716" s="36"/>
      <c r="AT716" s="36"/>
      <c r="AU716" s="36"/>
      <c r="AV716" s="36"/>
      <c r="AW716" s="36"/>
      <c r="AX716" s="36"/>
      <c r="AY716" s="36"/>
      <c r="AZ716" s="36"/>
      <c r="BA716" s="36"/>
      <c r="GH716" s="55"/>
      <c r="KD716" s="15"/>
      <c r="KE716" s="51"/>
      <c r="KH716" s="15"/>
      <c r="KI716" s="15"/>
    </row>
    <row r="717" spans="3:295">
      <c r="C717" s="1"/>
      <c r="AE717" s="51"/>
      <c r="AO717" s="49"/>
      <c r="AQ717" s="36"/>
      <c r="AR717" s="36"/>
      <c r="AS717" s="36"/>
      <c r="AT717" s="36"/>
      <c r="AU717" s="36"/>
      <c r="AV717" s="36"/>
      <c r="AW717" s="36"/>
      <c r="AX717" s="36"/>
      <c r="AY717" s="36"/>
      <c r="AZ717" s="36"/>
      <c r="BA717" s="36"/>
      <c r="GH717" s="55"/>
      <c r="KD717" s="15"/>
      <c r="KE717" s="51"/>
      <c r="KH717" s="15"/>
      <c r="KI717" s="15"/>
    </row>
    <row r="718" spans="3:295">
      <c r="C718" s="1"/>
      <c r="AE718" s="51"/>
      <c r="AO718" s="49"/>
      <c r="AQ718" s="36"/>
      <c r="AR718" s="36"/>
      <c r="AS718" s="36"/>
      <c r="AT718" s="36"/>
      <c r="AU718" s="36"/>
      <c r="AV718" s="36"/>
      <c r="AW718" s="36"/>
      <c r="AX718" s="36"/>
      <c r="AY718" s="36"/>
      <c r="AZ718" s="36"/>
      <c r="BA718" s="36"/>
      <c r="GH718" s="55"/>
      <c r="KD718" s="15"/>
      <c r="KE718" s="51"/>
      <c r="KH718" s="15"/>
      <c r="KI718" s="15"/>
    </row>
    <row r="719" spans="3:295">
      <c r="C719" s="1"/>
      <c r="AE719" s="51"/>
      <c r="AO719" s="49"/>
      <c r="AQ719" s="36"/>
      <c r="AR719" s="36"/>
      <c r="AS719" s="36"/>
      <c r="AT719" s="36"/>
      <c r="AU719" s="36"/>
      <c r="AV719" s="36"/>
      <c r="AW719" s="36"/>
      <c r="AX719" s="36"/>
      <c r="AY719" s="36"/>
      <c r="AZ719" s="36"/>
      <c r="BA719" s="36"/>
      <c r="GH719" s="55"/>
      <c r="KD719" s="15"/>
      <c r="KE719" s="51"/>
      <c r="KH719" s="15"/>
      <c r="KI719" s="15"/>
    </row>
    <row r="720" spans="3:295">
      <c r="C720" s="1"/>
      <c r="AE720" s="51"/>
      <c r="AO720" s="49"/>
      <c r="AQ720" s="36"/>
      <c r="AR720" s="36"/>
      <c r="AS720" s="36"/>
      <c r="AT720" s="36"/>
      <c r="AU720" s="36"/>
      <c r="AV720" s="36"/>
      <c r="AW720" s="36"/>
      <c r="AX720" s="36"/>
      <c r="AY720" s="36"/>
      <c r="AZ720" s="36"/>
      <c r="BA720" s="36"/>
      <c r="GH720" s="55"/>
      <c r="KD720" s="15"/>
      <c r="KE720" s="51"/>
      <c r="KH720" s="15"/>
      <c r="KI720" s="15"/>
    </row>
    <row r="721" spans="3:295">
      <c r="C721" s="1"/>
      <c r="AE721" s="51"/>
      <c r="AO721" s="49"/>
      <c r="AQ721" s="36"/>
      <c r="AR721" s="36"/>
      <c r="AS721" s="36"/>
      <c r="AT721" s="36"/>
      <c r="AU721" s="36"/>
      <c r="AV721" s="36"/>
      <c r="AW721" s="36"/>
      <c r="AX721" s="36"/>
      <c r="AY721" s="36"/>
      <c r="AZ721" s="36"/>
      <c r="BA721" s="36"/>
      <c r="GH721" s="55"/>
      <c r="KD721" s="15"/>
      <c r="KE721" s="51"/>
      <c r="KH721" s="15"/>
      <c r="KI721" s="15"/>
    </row>
    <row r="722" spans="3:295">
      <c r="C722" s="1"/>
      <c r="AE722" s="51"/>
      <c r="AO722" s="49"/>
      <c r="AQ722" s="36"/>
      <c r="AR722" s="36"/>
      <c r="AS722" s="36"/>
      <c r="AT722" s="36"/>
      <c r="AU722" s="36"/>
      <c r="AV722" s="36"/>
      <c r="AW722" s="36"/>
      <c r="AX722" s="36"/>
      <c r="AY722" s="36"/>
      <c r="AZ722" s="36"/>
      <c r="BA722" s="36"/>
      <c r="GH722" s="55"/>
      <c r="KD722" s="15"/>
      <c r="KE722" s="51"/>
      <c r="KH722" s="15"/>
      <c r="KI722" s="15"/>
    </row>
    <row r="723" spans="3:295">
      <c r="C723" s="1"/>
      <c r="AE723" s="51"/>
      <c r="AO723" s="49"/>
      <c r="AQ723" s="36"/>
      <c r="AR723" s="36"/>
      <c r="AS723" s="36"/>
      <c r="AT723" s="36"/>
      <c r="AU723" s="36"/>
      <c r="AV723" s="36"/>
      <c r="AW723" s="36"/>
      <c r="AX723" s="36"/>
      <c r="AY723" s="36"/>
      <c r="AZ723" s="36"/>
      <c r="BA723" s="36"/>
      <c r="GH723" s="55"/>
      <c r="KD723" s="15"/>
      <c r="KE723" s="51"/>
      <c r="KH723" s="15"/>
      <c r="KI723" s="15"/>
    </row>
    <row r="724" spans="3:295">
      <c r="C724" s="1"/>
      <c r="AE724" s="51"/>
      <c r="AO724" s="49"/>
      <c r="AQ724" s="36"/>
      <c r="AR724" s="36"/>
      <c r="AS724" s="36"/>
      <c r="AT724" s="36"/>
      <c r="AU724" s="36"/>
      <c r="AV724" s="36"/>
      <c r="AW724" s="36"/>
      <c r="AX724" s="36"/>
      <c r="AY724" s="36"/>
      <c r="AZ724" s="36"/>
      <c r="BA724" s="36"/>
      <c r="GH724" s="55"/>
      <c r="KD724" s="15"/>
      <c r="KE724" s="51"/>
      <c r="KH724" s="15"/>
      <c r="KI724" s="15"/>
    </row>
    <row r="725" spans="3:295">
      <c r="C725" s="1"/>
      <c r="AE725" s="51"/>
      <c r="AO725" s="49"/>
      <c r="AQ725" s="36"/>
      <c r="AR725" s="36"/>
      <c r="AS725" s="36"/>
      <c r="AT725" s="36"/>
      <c r="AU725" s="36"/>
      <c r="AV725" s="36"/>
      <c r="AW725" s="36"/>
      <c r="AX725" s="36"/>
      <c r="AY725" s="36"/>
      <c r="AZ725" s="36"/>
      <c r="BA725" s="36"/>
      <c r="GH725" s="55"/>
      <c r="KD725" s="15"/>
      <c r="KE725" s="51"/>
      <c r="KH725" s="15"/>
      <c r="KI725" s="15"/>
    </row>
    <row r="726" spans="3:295">
      <c r="C726" s="1"/>
      <c r="AE726" s="51"/>
      <c r="AO726" s="49"/>
      <c r="AQ726" s="36"/>
      <c r="AR726" s="36"/>
      <c r="AS726" s="36"/>
      <c r="AT726" s="36"/>
      <c r="AU726" s="36"/>
      <c r="AV726" s="36"/>
      <c r="AW726" s="36"/>
      <c r="AX726" s="36"/>
      <c r="AY726" s="36"/>
      <c r="AZ726" s="36"/>
      <c r="BA726" s="36"/>
      <c r="GH726" s="55"/>
      <c r="KD726" s="15"/>
      <c r="KE726" s="51"/>
      <c r="KH726" s="15"/>
      <c r="KI726" s="15"/>
    </row>
    <row r="727" spans="3:295">
      <c r="C727" s="1"/>
      <c r="AE727" s="51"/>
      <c r="AO727" s="49"/>
      <c r="AQ727" s="36"/>
      <c r="AR727" s="36"/>
      <c r="AS727" s="36"/>
      <c r="AT727" s="36"/>
      <c r="AU727" s="36"/>
      <c r="AV727" s="36"/>
      <c r="AW727" s="36"/>
      <c r="AX727" s="36"/>
      <c r="AY727" s="36"/>
      <c r="AZ727" s="36"/>
      <c r="BA727" s="36"/>
      <c r="GH727" s="55"/>
      <c r="KD727" s="15"/>
      <c r="KE727" s="51"/>
      <c r="KH727" s="15"/>
      <c r="KI727" s="15"/>
    </row>
    <row r="728" spans="3:295">
      <c r="C728" s="1"/>
      <c r="AE728" s="51"/>
      <c r="AO728" s="49"/>
      <c r="AQ728" s="36"/>
      <c r="AR728" s="36"/>
      <c r="AS728" s="36"/>
      <c r="AT728" s="36"/>
      <c r="AU728" s="36"/>
      <c r="AV728" s="36"/>
      <c r="AW728" s="36"/>
      <c r="AX728" s="36"/>
      <c r="AY728" s="36"/>
      <c r="AZ728" s="36"/>
      <c r="BA728" s="36"/>
      <c r="GH728" s="55"/>
      <c r="KD728" s="15"/>
      <c r="KE728" s="51"/>
      <c r="KH728" s="15"/>
      <c r="KI728" s="15"/>
    </row>
    <row r="729" spans="3:295">
      <c r="C729" s="1"/>
      <c r="AE729" s="51"/>
      <c r="AO729" s="49"/>
      <c r="AQ729" s="36"/>
      <c r="AR729" s="36"/>
      <c r="AS729" s="36"/>
      <c r="AT729" s="36"/>
      <c r="AU729" s="36"/>
      <c r="AV729" s="36"/>
      <c r="AW729" s="36"/>
      <c r="AX729" s="36"/>
      <c r="AY729" s="36"/>
      <c r="AZ729" s="36"/>
      <c r="BA729" s="36"/>
      <c r="GH729" s="55"/>
      <c r="KD729" s="15"/>
      <c r="KE729" s="51"/>
      <c r="KH729" s="15"/>
      <c r="KI729" s="15"/>
    </row>
    <row r="730" spans="3:295">
      <c r="C730" s="1"/>
      <c r="AE730" s="51"/>
      <c r="AO730" s="49"/>
      <c r="AQ730" s="36"/>
      <c r="AR730" s="36"/>
      <c r="AS730" s="36"/>
      <c r="AT730" s="36"/>
      <c r="AU730" s="36"/>
      <c r="AV730" s="36"/>
      <c r="AW730" s="36"/>
      <c r="AX730" s="36"/>
      <c r="AY730" s="36"/>
      <c r="AZ730" s="36"/>
      <c r="BA730" s="36"/>
      <c r="GH730" s="55"/>
      <c r="KD730" s="15"/>
      <c r="KE730" s="51"/>
      <c r="KH730" s="15"/>
      <c r="KI730" s="15"/>
    </row>
    <row r="731" spans="3:295">
      <c r="C731" s="1"/>
      <c r="AE731" s="51"/>
      <c r="AO731" s="49"/>
      <c r="AQ731" s="36"/>
      <c r="AR731" s="36"/>
      <c r="AS731" s="36"/>
      <c r="AT731" s="36"/>
      <c r="AU731" s="36"/>
      <c r="AV731" s="36"/>
      <c r="AW731" s="36"/>
      <c r="AX731" s="36"/>
      <c r="AY731" s="36"/>
      <c r="AZ731" s="36"/>
      <c r="BA731" s="36"/>
      <c r="GH731" s="55"/>
      <c r="KD731" s="15"/>
      <c r="KE731" s="51"/>
      <c r="KH731" s="15"/>
      <c r="KI731" s="15"/>
    </row>
    <row r="732" spans="3:295">
      <c r="C732" s="1"/>
      <c r="AE732" s="51"/>
      <c r="AO732" s="49"/>
      <c r="AQ732" s="36"/>
      <c r="AR732" s="36"/>
      <c r="AS732" s="36"/>
      <c r="AT732" s="36"/>
      <c r="AU732" s="36"/>
      <c r="AV732" s="36"/>
      <c r="AW732" s="36"/>
      <c r="AX732" s="36"/>
      <c r="AY732" s="36"/>
      <c r="AZ732" s="36"/>
      <c r="BA732" s="36"/>
      <c r="GH732" s="55"/>
      <c r="KD732" s="15"/>
      <c r="KE732" s="51"/>
      <c r="KH732" s="15"/>
      <c r="KI732" s="15"/>
    </row>
    <row r="733" spans="3:295">
      <c r="C733" s="1"/>
      <c r="AE733" s="51"/>
      <c r="AO733" s="49"/>
      <c r="AQ733" s="36"/>
      <c r="AR733" s="36"/>
      <c r="AS733" s="36"/>
      <c r="AT733" s="36"/>
      <c r="AU733" s="36"/>
      <c r="AV733" s="36"/>
      <c r="AW733" s="36"/>
      <c r="AX733" s="36"/>
      <c r="AY733" s="36"/>
      <c r="AZ733" s="36"/>
      <c r="BA733" s="36"/>
      <c r="GH733" s="55"/>
      <c r="KD733" s="15"/>
      <c r="KE733" s="51"/>
      <c r="KH733" s="15"/>
      <c r="KI733" s="15"/>
    </row>
    <row r="734" spans="3:295">
      <c r="C734" s="1"/>
      <c r="AE734" s="51"/>
      <c r="AO734" s="49"/>
      <c r="AQ734" s="36"/>
      <c r="AR734" s="36"/>
      <c r="AS734" s="36"/>
      <c r="AT734" s="36"/>
      <c r="AU734" s="36"/>
      <c r="AV734" s="36"/>
      <c r="AW734" s="36"/>
      <c r="AX734" s="36"/>
      <c r="AY734" s="36"/>
      <c r="AZ734" s="36"/>
      <c r="BA734" s="36"/>
      <c r="GH734" s="55"/>
      <c r="KD734" s="15"/>
      <c r="KE734" s="51"/>
      <c r="KH734" s="15"/>
      <c r="KI734" s="15"/>
    </row>
    <row r="735" spans="3:295">
      <c r="C735" s="1"/>
      <c r="AE735" s="51"/>
      <c r="AO735" s="49"/>
      <c r="AQ735" s="36"/>
      <c r="AR735" s="36"/>
      <c r="AS735" s="36"/>
      <c r="AT735" s="36"/>
      <c r="AU735" s="36"/>
      <c r="AV735" s="36"/>
      <c r="AW735" s="36"/>
      <c r="AX735" s="36"/>
      <c r="AY735" s="36"/>
      <c r="AZ735" s="36"/>
      <c r="BA735" s="36"/>
      <c r="GH735" s="55"/>
      <c r="KD735" s="15"/>
      <c r="KE735" s="51"/>
      <c r="KH735" s="15"/>
      <c r="KI735" s="15"/>
    </row>
    <row r="736" spans="3:295">
      <c r="C736" s="1"/>
      <c r="AE736" s="51"/>
      <c r="AO736" s="49"/>
      <c r="AQ736" s="36"/>
      <c r="AR736" s="36"/>
      <c r="AS736" s="36"/>
      <c r="AT736" s="36"/>
      <c r="AU736" s="36"/>
      <c r="AV736" s="36"/>
      <c r="AW736" s="36"/>
      <c r="AX736" s="36"/>
      <c r="AY736" s="36"/>
      <c r="AZ736" s="36"/>
      <c r="BA736" s="36"/>
      <c r="GH736" s="55"/>
      <c r="KD736" s="15"/>
      <c r="KE736" s="51"/>
      <c r="KH736" s="15"/>
      <c r="KI736" s="15"/>
    </row>
    <row r="737" spans="3:295">
      <c r="C737" s="1"/>
      <c r="AE737" s="51"/>
      <c r="AO737" s="49"/>
      <c r="AQ737" s="36"/>
      <c r="AR737" s="36"/>
      <c r="AS737" s="36"/>
      <c r="AT737" s="36"/>
      <c r="AU737" s="36"/>
      <c r="AV737" s="36"/>
      <c r="AW737" s="36"/>
      <c r="AX737" s="36"/>
      <c r="AY737" s="36"/>
      <c r="AZ737" s="36"/>
      <c r="BA737" s="36"/>
      <c r="GH737" s="55"/>
      <c r="KD737" s="15"/>
      <c r="KE737" s="51"/>
      <c r="KH737" s="15"/>
      <c r="KI737" s="15"/>
    </row>
    <row r="738" spans="3:295">
      <c r="C738" s="1"/>
      <c r="AE738" s="51"/>
      <c r="AO738" s="49"/>
      <c r="AQ738" s="36"/>
      <c r="AR738" s="36"/>
      <c r="AS738" s="36"/>
      <c r="AT738" s="36"/>
      <c r="AU738" s="36"/>
      <c r="AV738" s="36"/>
      <c r="AW738" s="36"/>
      <c r="AX738" s="36"/>
      <c r="AY738" s="36"/>
      <c r="AZ738" s="36"/>
      <c r="BA738" s="36"/>
      <c r="GH738" s="55"/>
      <c r="KD738" s="15"/>
      <c r="KE738" s="51"/>
      <c r="KH738" s="15"/>
      <c r="KI738" s="15"/>
    </row>
    <row r="739" spans="3:295">
      <c r="C739" s="1"/>
      <c r="AE739" s="51"/>
      <c r="AO739" s="49"/>
      <c r="AQ739" s="36"/>
      <c r="AR739" s="36"/>
      <c r="AS739" s="36"/>
      <c r="AT739" s="36"/>
      <c r="AU739" s="36"/>
      <c r="AV739" s="36"/>
      <c r="AW739" s="36"/>
      <c r="AX739" s="36"/>
      <c r="AY739" s="36"/>
      <c r="AZ739" s="36"/>
      <c r="BA739" s="36"/>
      <c r="GH739" s="55"/>
      <c r="KD739" s="15"/>
      <c r="KE739" s="51"/>
      <c r="KH739" s="15"/>
      <c r="KI739" s="15"/>
    </row>
    <row r="740" spans="3:295">
      <c r="C740" s="1"/>
      <c r="AE740" s="51"/>
      <c r="AO740" s="49"/>
      <c r="AQ740" s="36"/>
      <c r="AR740" s="36"/>
      <c r="AS740" s="36"/>
      <c r="AT740" s="36"/>
      <c r="AU740" s="36"/>
      <c r="AV740" s="36"/>
      <c r="AW740" s="36"/>
      <c r="AX740" s="36"/>
      <c r="AY740" s="36"/>
      <c r="AZ740" s="36"/>
      <c r="BA740" s="36"/>
      <c r="GH740" s="55"/>
      <c r="KD740" s="15"/>
      <c r="KE740" s="51"/>
      <c r="KH740" s="15"/>
      <c r="KI740" s="15"/>
    </row>
    <row r="741" spans="3:295">
      <c r="C741" s="1"/>
      <c r="AE741" s="51"/>
      <c r="AO741" s="49"/>
      <c r="AQ741" s="36"/>
      <c r="AR741" s="36"/>
      <c r="AS741" s="36"/>
      <c r="AT741" s="36"/>
      <c r="AU741" s="36"/>
      <c r="AV741" s="36"/>
      <c r="AW741" s="36"/>
      <c r="AX741" s="36"/>
      <c r="AY741" s="36"/>
      <c r="AZ741" s="36"/>
      <c r="BA741" s="36"/>
      <c r="GH741" s="55"/>
      <c r="KD741" s="15"/>
      <c r="KE741" s="51"/>
      <c r="KH741" s="15"/>
      <c r="KI741" s="15"/>
    </row>
    <row r="742" spans="3:295">
      <c r="C742" s="1"/>
      <c r="AE742" s="51"/>
      <c r="AO742" s="49"/>
      <c r="AQ742" s="36"/>
      <c r="AR742" s="36"/>
      <c r="AS742" s="36"/>
      <c r="AT742" s="36"/>
      <c r="AU742" s="36"/>
      <c r="AV742" s="36"/>
      <c r="AW742" s="36"/>
      <c r="AX742" s="36"/>
      <c r="AY742" s="36"/>
      <c r="AZ742" s="36"/>
      <c r="BA742" s="36"/>
      <c r="GH742" s="55"/>
      <c r="KD742" s="15"/>
      <c r="KE742" s="51"/>
      <c r="KH742" s="15"/>
      <c r="KI742" s="15"/>
    </row>
    <row r="743" spans="3:295">
      <c r="C743" s="1"/>
      <c r="AE743" s="51"/>
      <c r="AO743" s="49"/>
      <c r="AQ743" s="36"/>
      <c r="AR743" s="36"/>
      <c r="AS743" s="36"/>
      <c r="AT743" s="36"/>
      <c r="AU743" s="36"/>
      <c r="AV743" s="36"/>
      <c r="AW743" s="36"/>
      <c r="AX743" s="36"/>
      <c r="AY743" s="36"/>
      <c r="AZ743" s="36"/>
      <c r="BA743" s="36"/>
      <c r="GH743" s="55"/>
      <c r="KD743" s="15"/>
      <c r="KE743" s="51"/>
      <c r="KH743" s="15"/>
      <c r="KI743" s="15"/>
    </row>
    <row r="744" spans="3:295">
      <c r="C744" s="1"/>
      <c r="AE744" s="51"/>
      <c r="AO744" s="49"/>
      <c r="AQ744" s="36"/>
      <c r="AR744" s="36"/>
      <c r="AS744" s="36"/>
      <c r="AT744" s="36"/>
      <c r="AU744" s="36"/>
      <c r="AV744" s="36"/>
      <c r="AW744" s="36"/>
      <c r="AX744" s="36"/>
      <c r="AY744" s="36"/>
      <c r="AZ744" s="36"/>
      <c r="BA744" s="36"/>
      <c r="GH744" s="55"/>
      <c r="KD744" s="15"/>
      <c r="KE744" s="51"/>
      <c r="KH744" s="15"/>
      <c r="KI744" s="15"/>
    </row>
    <row r="745" spans="3:295">
      <c r="C745" s="1"/>
      <c r="AE745" s="51"/>
      <c r="AO745" s="49"/>
      <c r="AQ745" s="36"/>
      <c r="AR745" s="36"/>
      <c r="AS745" s="36"/>
      <c r="AT745" s="36"/>
      <c r="AU745" s="36"/>
      <c r="AV745" s="36"/>
      <c r="AW745" s="36"/>
      <c r="AX745" s="36"/>
      <c r="AY745" s="36"/>
      <c r="AZ745" s="36"/>
      <c r="BA745" s="36"/>
      <c r="GH745" s="55"/>
      <c r="KD745" s="15"/>
      <c r="KE745" s="51"/>
      <c r="KH745" s="15"/>
      <c r="KI745" s="15"/>
    </row>
    <row r="746" spans="3:295">
      <c r="C746" s="1"/>
      <c r="AE746" s="51"/>
      <c r="AO746" s="49"/>
      <c r="AQ746" s="36"/>
      <c r="AR746" s="36"/>
      <c r="AS746" s="36"/>
      <c r="AT746" s="36"/>
      <c r="AU746" s="36"/>
      <c r="AV746" s="36"/>
      <c r="AW746" s="36"/>
      <c r="AX746" s="36"/>
      <c r="AY746" s="36"/>
      <c r="AZ746" s="36"/>
      <c r="BA746" s="36"/>
      <c r="GH746" s="55"/>
      <c r="KD746" s="15"/>
      <c r="KE746" s="51"/>
      <c r="KH746" s="15"/>
      <c r="KI746" s="15"/>
    </row>
    <row r="747" spans="3:295">
      <c r="C747" s="1"/>
      <c r="AE747" s="51"/>
      <c r="AO747" s="49"/>
      <c r="AQ747" s="36"/>
      <c r="AR747" s="36"/>
      <c r="AS747" s="36"/>
      <c r="AT747" s="36"/>
      <c r="AU747" s="36"/>
      <c r="AV747" s="36"/>
      <c r="AW747" s="36"/>
      <c r="AX747" s="36"/>
      <c r="AY747" s="36"/>
      <c r="AZ747" s="36"/>
      <c r="BA747" s="36"/>
      <c r="GH747" s="55"/>
      <c r="KD747" s="15"/>
      <c r="KE747" s="51"/>
      <c r="KH747" s="15"/>
      <c r="KI747" s="15"/>
    </row>
    <row r="748" spans="3:295">
      <c r="C748" s="1"/>
      <c r="AE748" s="51"/>
      <c r="AO748" s="49"/>
      <c r="AQ748" s="36"/>
      <c r="AR748" s="36"/>
      <c r="AS748" s="36"/>
      <c r="AT748" s="36"/>
      <c r="AU748" s="36"/>
      <c r="AV748" s="36"/>
      <c r="AW748" s="36"/>
      <c r="AX748" s="36"/>
      <c r="AY748" s="36"/>
      <c r="AZ748" s="36"/>
      <c r="BA748" s="36"/>
      <c r="GH748" s="55"/>
      <c r="KD748" s="15"/>
      <c r="KE748" s="51"/>
      <c r="KH748" s="15"/>
      <c r="KI748" s="15"/>
    </row>
    <row r="749" spans="3:295">
      <c r="C749" s="1"/>
      <c r="AE749" s="51"/>
      <c r="AO749" s="49"/>
      <c r="AQ749" s="36"/>
      <c r="AR749" s="36"/>
      <c r="AS749" s="36"/>
      <c r="AT749" s="36"/>
      <c r="AU749" s="36"/>
      <c r="AV749" s="36"/>
      <c r="AW749" s="36"/>
      <c r="AX749" s="36"/>
      <c r="AY749" s="36"/>
      <c r="AZ749" s="36"/>
      <c r="BA749" s="36"/>
      <c r="GH749" s="55"/>
      <c r="KD749" s="15"/>
      <c r="KE749" s="51"/>
      <c r="KH749" s="15"/>
      <c r="KI749" s="15"/>
    </row>
    <row r="750" spans="3:295">
      <c r="C750" s="1"/>
      <c r="AE750" s="51"/>
      <c r="AO750" s="49"/>
      <c r="AQ750" s="36"/>
      <c r="AR750" s="36"/>
      <c r="AS750" s="36"/>
      <c r="AT750" s="36"/>
      <c r="AU750" s="36"/>
      <c r="AV750" s="36"/>
      <c r="AW750" s="36"/>
      <c r="AX750" s="36"/>
      <c r="AY750" s="36"/>
      <c r="AZ750" s="36"/>
      <c r="BA750" s="36"/>
      <c r="GH750" s="55"/>
      <c r="KD750" s="15"/>
      <c r="KE750" s="51"/>
      <c r="KH750" s="15"/>
      <c r="KI750" s="15"/>
    </row>
    <row r="751" spans="3:295">
      <c r="C751" s="1"/>
      <c r="AE751" s="51"/>
      <c r="AO751" s="49"/>
      <c r="AQ751" s="36"/>
      <c r="AR751" s="36"/>
      <c r="AS751" s="36"/>
      <c r="AT751" s="36"/>
      <c r="AU751" s="36"/>
      <c r="AV751" s="36"/>
      <c r="AW751" s="36"/>
      <c r="AX751" s="36"/>
      <c r="AY751" s="36"/>
      <c r="AZ751" s="36"/>
      <c r="BA751" s="36"/>
      <c r="GH751" s="55"/>
      <c r="KD751" s="15"/>
      <c r="KE751" s="51"/>
      <c r="KH751" s="15"/>
      <c r="KI751" s="15"/>
    </row>
    <row r="752" spans="3:295">
      <c r="C752" s="1"/>
      <c r="AE752" s="51"/>
      <c r="AO752" s="49"/>
      <c r="AQ752" s="36"/>
      <c r="AR752" s="36"/>
      <c r="AS752" s="36"/>
      <c r="AT752" s="36"/>
      <c r="AU752" s="36"/>
      <c r="AV752" s="36"/>
      <c r="AW752" s="36"/>
      <c r="AX752" s="36"/>
      <c r="AY752" s="36"/>
      <c r="AZ752" s="36"/>
      <c r="BA752" s="36"/>
      <c r="GH752" s="55"/>
      <c r="KD752" s="15"/>
      <c r="KE752" s="51"/>
      <c r="KH752" s="15"/>
      <c r="KI752" s="15"/>
    </row>
    <row r="753" spans="3:295">
      <c r="C753" s="1"/>
      <c r="AE753" s="51"/>
      <c r="AO753" s="49"/>
      <c r="AQ753" s="36"/>
      <c r="AR753" s="36"/>
      <c r="AS753" s="36"/>
      <c r="AT753" s="36"/>
      <c r="AU753" s="36"/>
      <c r="AV753" s="36"/>
      <c r="AW753" s="36"/>
      <c r="AX753" s="36"/>
      <c r="AY753" s="36"/>
      <c r="AZ753" s="36"/>
      <c r="BA753" s="36"/>
      <c r="GH753" s="55"/>
      <c r="KD753" s="15"/>
      <c r="KE753" s="51"/>
      <c r="KH753" s="15"/>
      <c r="KI753" s="15"/>
    </row>
    <row r="754" spans="3:295">
      <c r="C754" s="1"/>
      <c r="AE754" s="51"/>
      <c r="AO754" s="49"/>
      <c r="AQ754" s="36"/>
      <c r="AR754" s="36"/>
      <c r="AS754" s="36"/>
      <c r="AT754" s="36"/>
      <c r="AU754" s="36"/>
      <c r="AV754" s="36"/>
      <c r="AW754" s="36"/>
      <c r="AX754" s="36"/>
      <c r="AY754" s="36"/>
      <c r="AZ754" s="36"/>
      <c r="BA754" s="36"/>
      <c r="GH754" s="55"/>
      <c r="KD754" s="15"/>
      <c r="KE754" s="51"/>
      <c r="KH754" s="15"/>
      <c r="KI754" s="15"/>
    </row>
    <row r="755" spans="3:295">
      <c r="C755" s="1"/>
      <c r="AE755" s="51"/>
      <c r="AO755" s="49"/>
      <c r="AQ755" s="36"/>
      <c r="AR755" s="36"/>
      <c r="AS755" s="36"/>
      <c r="AT755" s="36"/>
      <c r="AU755" s="36"/>
      <c r="AV755" s="36"/>
      <c r="AW755" s="36"/>
      <c r="AX755" s="36"/>
      <c r="AY755" s="36"/>
      <c r="AZ755" s="36"/>
      <c r="BA755" s="36"/>
      <c r="GH755" s="55"/>
      <c r="KD755" s="15"/>
      <c r="KE755" s="51"/>
      <c r="KH755" s="15"/>
      <c r="KI755" s="15"/>
    </row>
    <row r="756" spans="3:295">
      <c r="C756" s="1"/>
      <c r="AE756" s="51"/>
      <c r="AO756" s="49"/>
      <c r="AQ756" s="36"/>
      <c r="AR756" s="36"/>
      <c r="AS756" s="36"/>
      <c r="AT756" s="36"/>
      <c r="AU756" s="36"/>
      <c r="AV756" s="36"/>
      <c r="AW756" s="36"/>
      <c r="AX756" s="36"/>
      <c r="AY756" s="36"/>
      <c r="AZ756" s="36"/>
      <c r="BA756" s="36"/>
      <c r="GH756" s="55"/>
      <c r="KD756" s="15"/>
      <c r="KE756" s="51"/>
      <c r="KH756" s="15"/>
      <c r="KI756" s="15"/>
    </row>
    <row r="757" spans="3:295">
      <c r="C757" s="1"/>
      <c r="AE757" s="51"/>
      <c r="AO757" s="49"/>
      <c r="AQ757" s="36"/>
      <c r="AR757" s="36"/>
      <c r="AS757" s="36"/>
      <c r="AT757" s="36"/>
      <c r="AU757" s="36"/>
      <c r="AV757" s="36"/>
      <c r="AW757" s="36"/>
      <c r="AX757" s="36"/>
      <c r="AY757" s="36"/>
      <c r="AZ757" s="36"/>
      <c r="BA757" s="36"/>
      <c r="GH757" s="55"/>
      <c r="KD757" s="15"/>
      <c r="KE757" s="51"/>
      <c r="KH757" s="15"/>
      <c r="KI757" s="15"/>
    </row>
    <row r="758" spans="3:295">
      <c r="C758" s="1"/>
      <c r="AE758" s="51"/>
      <c r="AO758" s="49"/>
      <c r="AQ758" s="36"/>
      <c r="AR758" s="36"/>
      <c r="AS758" s="36"/>
      <c r="AT758" s="36"/>
      <c r="AU758" s="36"/>
      <c r="AV758" s="36"/>
      <c r="AW758" s="36"/>
      <c r="AX758" s="36"/>
      <c r="AY758" s="36"/>
      <c r="AZ758" s="36"/>
      <c r="BA758" s="36"/>
      <c r="GH758" s="55"/>
      <c r="KD758" s="15"/>
      <c r="KE758" s="51"/>
      <c r="KH758" s="15"/>
      <c r="KI758" s="15"/>
    </row>
    <row r="759" spans="3:295">
      <c r="C759" s="1"/>
      <c r="AE759" s="51"/>
      <c r="AO759" s="49"/>
      <c r="AQ759" s="36"/>
      <c r="AR759" s="36"/>
      <c r="AS759" s="36"/>
      <c r="AT759" s="36"/>
      <c r="AU759" s="36"/>
      <c r="AV759" s="36"/>
      <c r="AW759" s="36"/>
      <c r="AX759" s="36"/>
      <c r="AY759" s="36"/>
      <c r="AZ759" s="36"/>
      <c r="BA759" s="36"/>
      <c r="GH759" s="55"/>
      <c r="KD759" s="15"/>
      <c r="KE759" s="51"/>
      <c r="KH759" s="15"/>
      <c r="KI759" s="15"/>
    </row>
    <row r="760" spans="3:295">
      <c r="C760" s="1"/>
      <c r="AE760" s="51"/>
      <c r="AO760" s="49"/>
      <c r="AQ760" s="36"/>
      <c r="AR760" s="36"/>
      <c r="AS760" s="36"/>
      <c r="AT760" s="36"/>
      <c r="AU760" s="36"/>
      <c r="AV760" s="36"/>
      <c r="AW760" s="36"/>
      <c r="AX760" s="36"/>
      <c r="AY760" s="36"/>
      <c r="AZ760" s="36"/>
      <c r="BA760" s="36"/>
      <c r="GH760" s="55"/>
      <c r="KD760" s="15"/>
      <c r="KE760" s="51"/>
      <c r="KH760" s="15"/>
      <c r="KI760" s="15"/>
    </row>
    <row r="761" spans="3:295">
      <c r="C761" s="1"/>
      <c r="AE761" s="51"/>
      <c r="AO761" s="49"/>
      <c r="AQ761" s="36"/>
      <c r="AR761" s="36"/>
      <c r="AS761" s="36"/>
      <c r="AT761" s="36"/>
      <c r="AU761" s="36"/>
      <c r="AV761" s="36"/>
      <c r="AW761" s="36"/>
      <c r="AX761" s="36"/>
      <c r="AY761" s="36"/>
      <c r="AZ761" s="36"/>
      <c r="BA761" s="36"/>
      <c r="GH761" s="55"/>
      <c r="KD761" s="15"/>
      <c r="KE761" s="51"/>
      <c r="KH761" s="15"/>
      <c r="KI761" s="15"/>
    </row>
    <row r="762" spans="3:295">
      <c r="C762" s="1"/>
      <c r="AE762" s="51"/>
      <c r="AO762" s="49"/>
      <c r="AQ762" s="36"/>
      <c r="AR762" s="36"/>
      <c r="AS762" s="36"/>
      <c r="AT762" s="36"/>
      <c r="AU762" s="36"/>
      <c r="AV762" s="36"/>
      <c r="AW762" s="36"/>
      <c r="AX762" s="36"/>
      <c r="AY762" s="36"/>
      <c r="AZ762" s="36"/>
      <c r="BA762" s="36"/>
      <c r="GH762" s="55"/>
      <c r="KD762" s="15"/>
      <c r="KE762" s="51"/>
      <c r="KH762" s="15"/>
      <c r="KI762" s="15"/>
    </row>
    <row r="763" spans="3:295">
      <c r="C763" s="1"/>
      <c r="AE763" s="51"/>
      <c r="AO763" s="49"/>
      <c r="AQ763" s="36"/>
      <c r="AR763" s="36"/>
      <c r="AS763" s="36"/>
      <c r="AT763" s="36"/>
      <c r="AU763" s="36"/>
      <c r="AV763" s="36"/>
      <c r="AW763" s="36"/>
      <c r="AX763" s="36"/>
      <c r="AY763" s="36"/>
      <c r="AZ763" s="36"/>
      <c r="BA763" s="36"/>
      <c r="GH763" s="55"/>
      <c r="KD763" s="15"/>
      <c r="KE763" s="51"/>
      <c r="KH763" s="15"/>
      <c r="KI763" s="15"/>
    </row>
    <row r="764" spans="3:295">
      <c r="C764" s="1"/>
      <c r="AE764" s="51"/>
      <c r="AO764" s="49"/>
      <c r="AQ764" s="36"/>
      <c r="AR764" s="36"/>
      <c r="AS764" s="36"/>
      <c r="AT764" s="36"/>
      <c r="AU764" s="36"/>
      <c r="AV764" s="36"/>
      <c r="AW764" s="36"/>
      <c r="AX764" s="36"/>
      <c r="AY764" s="36"/>
      <c r="AZ764" s="36"/>
      <c r="BA764" s="36"/>
      <c r="GH764" s="55"/>
      <c r="KD764" s="15"/>
      <c r="KE764" s="51"/>
      <c r="KH764" s="15"/>
      <c r="KI764" s="15"/>
    </row>
    <row r="765" spans="3:295">
      <c r="C765" s="1"/>
      <c r="AE765" s="51"/>
      <c r="AO765" s="49"/>
      <c r="AQ765" s="36"/>
      <c r="AR765" s="36"/>
      <c r="AS765" s="36"/>
      <c r="AT765" s="36"/>
      <c r="AU765" s="36"/>
      <c r="AV765" s="36"/>
      <c r="AW765" s="36"/>
      <c r="AX765" s="36"/>
      <c r="AY765" s="36"/>
      <c r="AZ765" s="36"/>
      <c r="BA765" s="36"/>
      <c r="GH765" s="55"/>
      <c r="KD765" s="15"/>
      <c r="KE765" s="51"/>
      <c r="KH765" s="15"/>
      <c r="KI765" s="15"/>
    </row>
    <row r="766" spans="3:295">
      <c r="C766" s="1"/>
      <c r="AE766" s="51"/>
      <c r="AO766" s="49"/>
      <c r="AQ766" s="36"/>
      <c r="AR766" s="36"/>
      <c r="AS766" s="36"/>
      <c r="AT766" s="36"/>
      <c r="AU766" s="36"/>
      <c r="AV766" s="36"/>
      <c r="AW766" s="36"/>
      <c r="AX766" s="36"/>
      <c r="AY766" s="36"/>
      <c r="AZ766" s="36"/>
      <c r="BA766" s="36"/>
      <c r="GH766" s="55"/>
      <c r="KD766" s="15"/>
      <c r="KE766" s="51"/>
      <c r="KH766" s="15"/>
      <c r="KI766" s="15"/>
    </row>
    <row r="767" spans="3:295">
      <c r="C767" s="1"/>
      <c r="AE767" s="51"/>
      <c r="AO767" s="49"/>
      <c r="AQ767" s="36"/>
      <c r="AR767" s="36"/>
      <c r="AS767" s="36"/>
      <c r="AT767" s="36"/>
      <c r="AU767" s="36"/>
      <c r="AV767" s="36"/>
      <c r="AW767" s="36"/>
      <c r="AX767" s="36"/>
      <c r="AY767" s="36"/>
      <c r="AZ767" s="36"/>
      <c r="BA767" s="36"/>
      <c r="GH767" s="55"/>
      <c r="KD767" s="15"/>
      <c r="KE767" s="51"/>
      <c r="KH767" s="15"/>
      <c r="KI767" s="15"/>
    </row>
    <row r="768" spans="3:295">
      <c r="C768" s="1"/>
      <c r="AE768" s="51"/>
      <c r="AO768" s="49"/>
      <c r="AQ768" s="36"/>
      <c r="AR768" s="36"/>
      <c r="AS768" s="36"/>
      <c r="AT768" s="36"/>
      <c r="AU768" s="36"/>
      <c r="AV768" s="36"/>
      <c r="AW768" s="36"/>
      <c r="AX768" s="36"/>
      <c r="AY768" s="36"/>
      <c r="AZ768" s="36"/>
      <c r="BA768" s="36"/>
      <c r="GH768" s="55"/>
      <c r="KD768" s="15"/>
      <c r="KE768" s="51"/>
      <c r="KH768" s="15"/>
      <c r="KI768" s="15"/>
    </row>
    <row r="769" spans="3:295">
      <c r="C769" s="1"/>
      <c r="AE769" s="51"/>
      <c r="AO769" s="49"/>
      <c r="AQ769" s="36"/>
      <c r="AR769" s="36"/>
      <c r="AS769" s="36"/>
      <c r="AT769" s="36"/>
      <c r="AU769" s="36"/>
      <c r="AV769" s="36"/>
      <c r="AW769" s="36"/>
      <c r="AX769" s="36"/>
      <c r="AY769" s="36"/>
      <c r="AZ769" s="36"/>
      <c r="BA769" s="36"/>
      <c r="GH769" s="55"/>
      <c r="KD769" s="15"/>
      <c r="KE769" s="51"/>
      <c r="KH769" s="15"/>
      <c r="KI769" s="15"/>
    </row>
    <row r="770" spans="3:295">
      <c r="C770" s="1"/>
      <c r="AE770" s="51"/>
      <c r="AO770" s="49"/>
      <c r="AQ770" s="36"/>
      <c r="AR770" s="36"/>
      <c r="AS770" s="36"/>
      <c r="AT770" s="36"/>
      <c r="AU770" s="36"/>
      <c r="AV770" s="36"/>
      <c r="AW770" s="36"/>
      <c r="AX770" s="36"/>
      <c r="AY770" s="36"/>
      <c r="AZ770" s="36"/>
      <c r="BA770" s="36"/>
      <c r="GH770" s="55"/>
      <c r="KD770" s="15"/>
      <c r="KE770" s="51"/>
      <c r="KH770" s="15"/>
      <c r="KI770" s="15"/>
    </row>
    <row r="771" spans="3:295">
      <c r="C771" s="1"/>
      <c r="AE771" s="51"/>
      <c r="AO771" s="49"/>
      <c r="AQ771" s="36"/>
      <c r="AR771" s="36"/>
      <c r="AS771" s="36"/>
      <c r="AT771" s="36"/>
      <c r="AU771" s="36"/>
      <c r="AV771" s="36"/>
      <c r="AW771" s="36"/>
      <c r="AX771" s="36"/>
      <c r="AY771" s="36"/>
      <c r="AZ771" s="36"/>
      <c r="BA771" s="36"/>
      <c r="GH771" s="55"/>
      <c r="KD771" s="15"/>
      <c r="KE771" s="51"/>
      <c r="KH771" s="15"/>
      <c r="KI771" s="15"/>
    </row>
    <row r="772" spans="3:295">
      <c r="C772" s="1"/>
      <c r="AE772" s="51"/>
      <c r="AO772" s="49"/>
      <c r="AQ772" s="36"/>
      <c r="AR772" s="36"/>
      <c r="AS772" s="36"/>
      <c r="AT772" s="36"/>
      <c r="AU772" s="36"/>
      <c r="AV772" s="36"/>
      <c r="AW772" s="36"/>
      <c r="AX772" s="36"/>
      <c r="AY772" s="36"/>
      <c r="AZ772" s="36"/>
      <c r="BA772" s="36"/>
      <c r="GH772" s="55"/>
      <c r="KD772" s="15"/>
      <c r="KE772" s="51"/>
      <c r="KH772" s="15"/>
      <c r="KI772" s="15"/>
    </row>
    <row r="773" spans="3:295">
      <c r="C773" s="1"/>
      <c r="AE773" s="51"/>
      <c r="AO773" s="49"/>
      <c r="AQ773" s="36"/>
      <c r="AR773" s="36"/>
      <c r="AS773" s="36"/>
      <c r="AT773" s="36"/>
      <c r="AU773" s="36"/>
      <c r="AV773" s="36"/>
      <c r="AW773" s="36"/>
      <c r="AX773" s="36"/>
      <c r="AY773" s="36"/>
      <c r="AZ773" s="36"/>
      <c r="BA773" s="36"/>
      <c r="GH773" s="55"/>
      <c r="KD773" s="15"/>
      <c r="KE773" s="51"/>
      <c r="KH773" s="15"/>
      <c r="KI773" s="15"/>
    </row>
    <row r="774" spans="3:295">
      <c r="C774" s="1"/>
      <c r="AE774" s="51"/>
      <c r="AO774" s="49"/>
      <c r="AQ774" s="36"/>
      <c r="AR774" s="36"/>
      <c r="AS774" s="36"/>
      <c r="AT774" s="36"/>
      <c r="AU774" s="36"/>
      <c r="AV774" s="36"/>
      <c r="AW774" s="36"/>
      <c r="AX774" s="36"/>
      <c r="AY774" s="36"/>
      <c r="AZ774" s="36"/>
      <c r="BA774" s="36"/>
      <c r="GH774" s="55"/>
      <c r="KD774" s="15"/>
      <c r="KE774" s="51"/>
      <c r="KH774" s="15"/>
      <c r="KI774" s="15"/>
    </row>
    <row r="775" spans="3:295">
      <c r="C775" s="1"/>
      <c r="AE775" s="51"/>
      <c r="AO775" s="49"/>
      <c r="AQ775" s="36"/>
      <c r="AR775" s="36"/>
      <c r="AS775" s="36"/>
      <c r="AT775" s="36"/>
      <c r="AU775" s="36"/>
      <c r="AV775" s="36"/>
      <c r="AW775" s="36"/>
      <c r="AX775" s="36"/>
      <c r="AY775" s="36"/>
      <c r="AZ775" s="36"/>
      <c r="BA775" s="36"/>
      <c r="GH775" s="55"/>
      <c r="KD775" s="15"/>
      <c r="KE775" s="51"/>
      <c r="KH775" s="15"/>
      <c r="KI775" s="15"/>
    </row>
    <row r="776" spans="3:295">
      <c r="C776" s="1"/>
      <c r="AE776" s="51"/>
      <c r="AO776" s="49"/>
      <c r="AQ776" s="36"/>
      <c r="AR776" s="36"/>
      <c r="AS776" s="36"/>
      <c r="AT776" s="36"/>
      <c r="AU776" s="36"/>
      <c r="AV776" s="36"/>
      <c r="AW776" s="36"/>
      <c r="AX776" s="36"/>
      <c r="AY776" s="36"/>
      <c r="AZ776" s="36"/>
      <c r="BA776" s="36"/>
      <c r="GH776" s="55"/>
      <c r="KD776" s="15"/>
      <c r="KE776" s="51"/>
      <c r="KH776" s="15"/>
      <c r="KI776" s="15"/>
    </row>
    <row r="777" spans="3:295">
      <c r="C777" s="1"/>
      <c r="AE777" s="51"/>
      <c r="AO777" s="49"/>
      <c r="AQ777" s="36"/>
      <c r="AR777" s="36"/>
      <c r="AS777" s="36"/>
      <c r="AT777" s="36"/>
      <c r="AU777" s="36"/>
      <c r="AV777" s="36"/>
      <c r="AW777" s="36"/>
      <c r="AX777" s="36"/>
      <c r="AY777" s="36"/>
      <c r="AZ777" s="36"/>
      <c r="BA777" s="36"/>
      <c r="GH777" s="55"/>
      <c r="KD777" s="15"/>
      <c r="KE777" s="51"/>
      <c r="KH777" s="15"/>
      <c r="KI777" s="15"/>
    </row>
    <row r="778" spans="3:295">
      <c r="C778" s="1"/>
      <c r="AE778" s="51"/>
      <c r="AO778" s="49"/>
      <c r="AQ778" s="36"/>
      <c r="AR778" s="36"/>
      <c r="AS778" s="36"/>
      <c r="AT778" s="36"/>
      <c r="AU778" s="36"/>
      <c r="AV778" s="36"/>
      <c r="AW778" s="36"/>
      <c r="AX778" s="36"/>
      <c r="AY778" s="36"/>
      <c r="AZ778" s="36"/>
      <c r="BA778" s="36"/>
      <c r="GH778" s="55"/>
      <c r="KD778" s="15"/>
      <c r="KE778" s="51"/>
      <c r="KH778" s="15"/>
      <c r="KI778" s="15"/>
    </row>
    <row r="779" spans="3:295">
      <c r="C779" s="1"/>
      <c r="AE779" s="51"/>
      <c r="AO779" s="49"/>
      <c r="AQ779" s="36"/>
      <c r="AR779" s="36"/>
      <c r="AS779" s="36"/>
      <c r="AT779" s="36"/>
      <c r="AU779" s="36"/>
      <c r="AV779" s="36"/>
      <c r="AW779" s="36"/>
      <c r="AX779" s="36"/>
      <c r="AY779" s="36"/>
      <c r="AZ779" s="36"/>
      <c r="BA779" s="36"/>
      <c r="GH779" s="55"/>
      <c r="KD779" s="15"/>
      <c r="KE779" s="51"/>
      <c r="KH779" s="15"/>
      <c r="KI779" s="15"/>
    </row>
    <row r="780" spans="3:295">
      <c r="C780" s="1"/>
      <c r="AE780" s="51"/>
      <c r="AO780" s="49"/>
      <c r="AQ780" s="36"/>
      <c r="AR780" s="36"/>
      <c r="AS780" s="36"/>
      <c r="AT780" s="36"/>
      <c r="AU780" s="36"/>
      <c r="AV780" s="36"/>
      <c r="AW780" s="36"/>
      <c r="AX780" s="36"/>
      <c r="AY780" s="36"/>
      <c r="AZ780" s="36"/>
      <c r="BA780" s="36"/>
      <c r="GH780" s="55"/>
      <c r="KD780" s="15"/>
      <c r="KE780" s="51"/>
      <c r="KH780" s="15"/>
      <c r="KI780" s="15"/>
    </row>
    <row r="781" spans="3:295">
      <c r="C781" s="1"/>
      <c r="AE781" s="51"/>
      <c r="AO781" s="49"/>
      <c r="AQ781" s="36"/>
      <c r="AR781" s="36"/>
      <c r="AS781" s="36"/>
      <c r="AT781" s="36"/>
      <c r="AU781" s="36"/>
      <c r="AV781" s="36"/>
      <c r="AW781" s="36"/>
      <c r="AX781" s="36"/>
      <c r="AY781" s="36"/>
      <c r="AZ781" s="36"/>
      <c r="BA781" s="36"/>
      <c r="GH781" s="55"/>
      <c r="KD781" s="15"/>
      <c r="KE781" s="51"/>
      <c r="KH781" s="15"/>
      <c r="KI781" s="15"/>
    </row>
    <row r="782" spans="3:295">
      <c r="C782" s="1"/>
      <c r="AE782" s="51"/>
      <c r="AO782" s="49"/>
      <c r="AQ782" s="36"/>
      <c r="AR782" s="36"/>
      <c r="AS782" s="36"/>
      <c r="AT782" s="36"/>
      <c r="AU782" s="36"/>
      <c r="AV782" s="36"/>
      <c r="AW782" s="36"/>
      <c r="AX782" s="36"/>
      <c r="AY782" s="36"/>
      <c r="AZ782" s="36"/>
      <c r="BA782" s="36"/>
      <c r="GH782" s="55"/>
      <c r="KD782" s="15"/>
      <c r="KE782" s="51"/>
      <c r="KH782" s="15"/>
      <c r="KI782" s="15"/>
    </row>
    <row r="783" spans="3:295">
      <c r="C783" s="1"/>
      <c r="AE783" s="51"/>
      <c r="AO783" s="49"/>
      <c r="AQ783" s="36"/>
      <c r="AR783" s="36"/>
      <c r="AS783" s="36"/>
      <c r="AT783" s="36"/>
      <c r="AU783" s="36"/>
      <c r="AV783" s="36"/>
      <c r="AW783" s="36"/>
      <c r="AX783" s="36"/>
      <c r="AY783" s="36"/>
      <c r="AZ783" s="36"/>
      <c r="BA783" s="36"/>
      <c r="GH783" s="55"/>
      <c r="KD783" s="15"/>
      <c r="KE783" s="51"/>
      <c r="KH783" s="15"/>
      <c r="KI783" s="15"/>
    </row>
    <row r="784" spans="3:295">
      <c r="C784" s="1"/>
      <c r="AE784" s="51"/>
      <c r="AO784" s="49"/>
      <c r="AQ784" s="36"/>
      <c r="AR784" s="36"/>
      <c r="AS784" s="36"/>
      <c r="AT784" s="36"/>
      <c r="AU784" s="36"/>
      <c r="AV784" s="36"/>
      <c r="AW784" s="36"/>
      <c r="AX784" s="36"/>
      <c r="AY784" s="36"/>
      <c r="AZ784" s="36"/>
      <c r="BA784" s="36"/>
      <c r="GH784" s="55"/>
      <c r="KD784" s="15"/>
      <c r="KE784" s="51"/>
      <c r="KH784" s="15"/>
      <c r="KI784" s="15"/>
    </row>
    <row r="785" spans="3:295">
      <c r="C785" s="1"/>
      <c r="AE785" s="51"/>
      <c r="AO785" s="49"/>
      <c r="AQ785" s="36"/>
      <c r="AR785" s="36"/>
      <c r="AS785" s="36"/>
      <c r="AT785" s="36"/>
      <c r="AU785" s="36"/>
      <c r="AV785" s="36"/>
      <c r="AW785" s="36"/>
      <c r="AX785" s="36"/>
      <c r="AY785" s="36"/>
      <c r="AZ785" s="36"/>
      <c r="BA785" s="36"/>
      <c r="GH785" s="55"/>
      <c r="KD785" s="15"/>
      <c r="KE785" s="51"/>
      <c r="KH785" s="15"/>
      <c r="KI785" s="15"/>
    </row>
    <row r="786" spans="3:295">
      <c r="C786" s="1"/>
      <c r="AE786" s="51"/>
      <c r="AO786" s="49"/>
      <c r="AQ786" s="36"/>
      <c r="AR786" s="36"/>
      <c r="AS786" s="36"/>
      <c r="AT786" s="36"/>
      <c r="AU786" s="36"/>
      <c r="AV786" s="36"/>
      <c r="AW786" s="36"/>
      <c r="AX786" s="36"/>
      <c r="AY786" s="36"/>
      <c r="AZ786" s="36"/>
      <c r="BA786" s="36"/>
      <c r="GH786" s="55"/>
      <c r="KD786" s="15"/>
      <c r="KE786" s="51"/>
      <c r="KH786" s="15"/>
      <c r="KI786" s="15"/>
    </row>
    <row r="787" spans="3:295">
      <c r="C787" s="1"/>
      <c r="AE787" s="51"/>
      <c r="AO787" s="49"/>
      <c r="AQ787" s="36"/>
      <c r="AR787" s="36"/>
      <c r="AS787" s="36"/>
      <c r="AT787" s="36"/>
      <c r="AU787" s="36"/>
      <c r="AV787" s="36"/>
      <c r="AW787" s="36"/>
      <c r="AX787" s="36"/>
      <c r="AY787" s="36"/>
      <c r="AZ787" s="36"/>
      <c r="BA787" s="36"/>
      <c r="GH787" s="55"/>
      <c r="KD787" s="15"/>
      <c r="KE787" s="51"/>
      <c r="KH787" s="15"/>
      <c r="KI787" s="15"/>
    </row>
    <row r="788" spans="3:295">
      <c r="C788" s="1"/>
      <c r="AE788" s="51"/>
      <c r="AO788" s="49"/>
      <c r="AQ788" s="36"/>
      <c r="AR788" s="36"/>
      <c r="AS788" s="36"/>
      <c r="AT788" s="36"/>
      <c r="AU788" s="36"/>
      <c r="AV788" s="36"/>
      <c r="AW788" s="36"/>
      <c r="AX788" s="36"/>
      <c r="AY788" s="36"/>
      <c r="AZ788" s="36"/>
      <c r="BA788" s="36"/>
      <c r="GH788" s="55"/>
      <c r="KD788" s="15"/>
      <c r="KE788" s="51"/>
      <c r="KH788" s="15"/>
      <c r="KI788" s="15"/>
    </row>
    <row r="789" spans="3:295">
      <c r="C789" s="1"/>
      <c r="AE789" s="51"/>
      <c r="AO789" s="49"/>
      <c r="AQ789" s="36"/>
      <c r="AR789" s="36"/>
      <c r="AS789" s="36"/>
      <c r="AT789" s="36"/>
      <c r="AU789" s="36"/>
      <c r="AV789" s="36"/>
      <c r="AW789" s="36"/>
      <c r="AX789" s="36"/>
      <c r="AY789" s="36"/>
      <c r="AZ789" s="36"/>
      <c r="BA789" s="36"/>
      <c r="GH789" s="55"/>
      <c r="KD789" s="15"/>
      <c r="KE789" s="51"/>
      <c r="KH789" s="15"/>
      <c r="KI789" s="15"/>
    </row>
    <row r="790" spans="3:295">
      <c r="C790" s="1"/>
      <c r="AE790" s="51"/>
      <c r="AO790" s="49"/>
      <c r="AQ790" s="36"/>
      <c r="AR790" s="36"/>
      <c r="AS790" s="36"/>
      <c r="AT790" s="36"/>
      <c r="AU790" s="36"/>
      <c r="AV790" s="36"/>
      <c r="AW790" s="36"/>
      <c r="AX790" s="36"/>
      <c r="AY790" s="36"/>
      <c r="AZ790" s="36"/>
      <c r="BA790" s="36"/>
      <c r="GH790" s="55"/>
      <c r="KD790" s="15"/>
      <c r="KE790" s="51"/>
      <c r="KH790" s="15"/>
      <c r="KI790" s="15"/>
    </row>
    <row r="791" spans="3:295">
      <c r="C791" s="1"/>
      <c r="AE791" s="51"/>
      <c r="AO791" s="49"/>
      <c r="AQ791" s="36"/>
      <c r="AR791" s="36"/>
      <c r="AS791" s="36"/>
      <c r="AT791" s="36"/>
      <c r="AU791" s="36"/>
      <c r="AV791" s="36"/>
      <c r="AW791" s="36"/>
      <c r="AX791" s="36"/>
      <c r="AY791" s="36"/>
      <c r="AZ791" s="36"/>
      <c r="BA791" s="36"/>
      <c r="GH791" s="55"/>
      <c r="KD791" s="15"/>
      <c r="KE791" s="51"/>
      <c r="KH791" s="15"/>
      <c r="KI791" s="15"/>
    </row>
    <row r="792" spans="3:295">
      <c r="C792" s="1"/>
      <c r="AE792" s="51"/>
      <c r="AO792" s="49"/>
      <c r="AQ792" s="36"/>
      <c r="AR792" s="36"/>
      <c r="AS792" s="36"/>
      <c r="AT792" s="36"/>
      <c r="AU792" s="36"/>
      <c r="AV792" s="36"/>
      <c r="AW792" s="36"/>
      <c r="AX792" s="36"/>
      <c r="AY792" s="36"/>
      <c r="AZ792" s="36"/>
      <c r="BA792" s="36"/>
      <c r="GH792" s="55"/>
      <c r="KD792" s="15"/>
      <c r="KE792" s="51"/>
      <c r="KH792" s="15"/>
      <c r="KI792" s="15"/>
    </row>
    <row r="793" spans="3:295">
      <c r="C793" s="1"/>
      <c r="AE793" s="51"/>
      <c r="AO793" s="49"/>
      <c r="AQ793" s="36"/>
      <c r="AR793" s="36"/>
      <c r="AS793" s="36"/>
      <c r="AT793" s="36"/>
      <c r="AU793" s="36"/>
      <c r="AV793" s="36"/>
      <c r="AW793" s="36"/>
      <c r="AX793" s="36"/>
      <c r="AY793" s="36"/>
      <c r="AZ793" s="36"/>
      <c r="BA793" s="36"/>
      <c r="GH793" s="55"/>
      <c r="KD793" s="15"/>
      <c r="KE793" s="51"/>
      <c r="KH793" s="15"/>
      <c r="KI793" s="15"/>
    </row>
    <row r="794" spans="3:295">
      <c r="C794" s="1"/>
      <c r="AE794" s="51"/>
      <c r="AO794" s="49"/>
      <c r="AQ794" s="36"/>
      <c r="AR794" s="36"/>
      <c r="AS794" s="36"/>
      <c r="AT794" s="36"/>
      <c r="AU794" s="36"/>
      <c r="AV794" s="36"/>
      <c r="AW794" s="36"/>
      <c r="AX794" s="36"/>
      <c r="AY794" s="36"/>
      <c r="AZ794" s="36"/>
      <c r="BA794" s="36"/>
      <c r="GH794" s="55"/>
      <c r="KD794" s="15"/>
      <c r="KE794" s="51"/>
      <c r="KH794" s="15"/>
      <c r="KI794" s="15"/>
    </row>
    <row r="795" spans="3:295">
      <c r="C795" s="1"/>
      <c r="AE795" s="51"/>
      <c r="AO795" s="49"/>
      <c r="AQ795" s="36"/>
      <c r="AR795" s="36"/>
      <c r="AS795" s="36"/>
      <c r="AT795" s="36"/>
      <c r="AU795" s="36"/>
      <c r="AV795" s="36"/>
      <c r="AW795" s="36"/>
      <c r="AX795" s="36"/>
      <c r="AY795" s="36"/>
      <c r="AZ795" s="36"/>
      <c r="BA795" s="36"/>
      <c r="GH795" s="55"/>
      <c r="KD795" s="15"/>
      <c r="KE795" s="51"/>
      <c r="KH795" s="15"/>
      <c r="KI795" s="15"/>
    </row>
    <row r="796" spans="3:295">
      <c r="C796" s="1"/>
      <c r="AE796" s="51"/>
      <c r="AO796" s="49"/>
      <c r="AQ796" s="36"/>
      <c r="AR796" s="36"/>
      <c r="AS796" s="36"/>
      <c r="AT796" s="36"/>
      <c r="AU796" s="36"/>
      <c r="AV796" s="36"/>
      <c r="AW796" s="36"/>
      <c r="AX796" s="36"/>
      <c r="AY796" s="36"/>
      <c r="AZ796" s="36"/>
      <c r="BA796" s="36"/>
      <c r="GH796" s="55"/>
      <c r="KD796" s="15"/>
      <c r="KE796" s="51"/>
      <c r="KH796" s="15"/>
      <c r="KI796" s="15"/>
    </row>
    <row r="797" spans="3:295">
      <c r="C797" s="1"/>
      <c r="AE797" s="51"/>
      <c r="AO797" s="49"/>
      <c r="AQ797" s="36"/>
      <c r="AR797" s="36"/>
      <c r="AS797" s="36"/>
      <c r="AT797" s="36"/>
      <c r="AU797" s="36"/>
      <c r="AV797" s="36"/>
      <c r="AW797" s="36"/>
      <c r="AX797" s="36"/>
      <c r="AY797" s="36"/>
      <c r="AZ797" s="36"/>
      <c r="BA797" s="36"/>
      <c r="GH797" s="55"/>
      <c r="KD797" s="15"/>
      <c r="KE797" s="51"/>
      <c r="KH797" s="15"/>
      <c r="KI797" s="15"/>
    </row>
    <row r="798" spans="3:295">
      <c r="C798" s="1"/>
      <c r="AE798" s="51"/>
      <c r="AO798" s="49"/>
      <c r="AQ798" s="36"/>
      <c r="AR798" s="36"/>
      <c r="AS798" s="36"/>
      <c r="AT798" s="36"/>
      <c r="AU798" s="36"/>
      <c r="AV798" s="36"/>
      <c r="AW798" s="36"/>
      <c r="AX798" s="36"/>
      <c r="AY798" s="36"/>
      <c r="AZ798" s="36"/>
      <c r="BA798" s="36"/>
      <c r="GH798" s="55"/>
      <c r="KD798" s="15"/>
      <c r="KE798" s="51"/>
      <c r="KH798" s="15"/>
      <c r="KI798" s="15"/>
    </row>
    <row r="799" spans="3:295">
      <c r="C799" s="1"/>
      <c r="AE799" s="51"/>
      <c r="AO799" s="49"/>
      <c r="AQ799" s="36"/>
      <c r="AR799" s="36"/>
      <c r="AS799" s="36"/>
      <c r="AT799" s="36"/>
      <c r="AU799" s="36"/>
      <c r="AV799" s="36"/>
      <c r="AW799" s="36"/>
      <c r="AX799" s="36"/>
      <c r="AY799" s="36"/>
      <c r="AZ799" s="36"/>
      <c r="BA799" s="36"/>
      <c r="GH799" s="55"/>
      <c r="KD799" s="15"/>
      <c r="KE799" s="51"/>
      <c r="KH799" s="15"/>
      <c r="KI799" s="15"/>
    </row>
    <row r="800" spans="3:295">
      <c r="C800" s="1"/>
      <c r="AE800" s="51"/>
      <c r="AO800" s="49"/>
      <c r="AQ800" s="36"/>
      <c r="AR800" s="36"/>
      <c r="AS800" s="36"/>
      <c r="AT800" s="36"/>
      <c r="AU800" s="36"/>
      <c r="AV800" s="36"/>
      <c r="AW800" s="36"/>
      <c r="AX800" s="36"/>
      <c r="AY800" s="36"/>
      <c r="AZ800" s="36"/>
      <c r="BA800" s="36"/>
      <c r="GH800" s="55"/>
      <c r="KD800" s="15"/>
      <c r="KE800" s="51"/>
      <c r="KH800" s="15"/>
      <c r="KI800" s="15"/>
    </row>
    <row r="801" spans="3:295">
      <c r="C801" s="1"/>
      <c r="AE801" s="51"/>
      <c r="AO801" s="49"/>
      <c r="AQ801" s="36"/>
      <c r="AR801" s="36"/>
      <c r="AS801" s="36"/>
      <c r="AT801" s="36"/>
      <c r="AU801" s="36"/>
      <c r="AV801" s="36"/>
      <c r="AW801" s="36"/>
      <c r="AX801" s="36"/>
      <c r="AY801" s="36"/>
      <c r="AZ801" s="36"/>
      <c r="BA801" s="36"/>
      <c r="GH801" s="55"/>
      <c r="KD801" s="15"/>
      <c r="KE801" s="51"/>
      <c r="KH801" s="15"/>
      <c r="KI801" s="15"/>
    </row>
    <row r="802" spans="3:295">
      <c r="C802" s="1"/>
      <c r="AE802" s="51"/>
      <c r="AO802" s="49"/>
      <c r="AQ802" s="36"/>
      <c r="AR802" s="36"/>
      <c r="AS802" s="36"/>
      <c r="AT802" s="36"/>
      <c r="AU802" s="36"/>
      <c r="AV802" s="36"/>
      <c r="AW802" s="36"/>
      <c r="AX802" s="36"/>
      <c r="AY802" s="36"/>
      <c r="AZ802" s="36"/>
      <c r="BA802" s="36"/>
      <c r="GH802" s="55"/>
      <c r="KD802" s="15"/>
      <c r="KE802" s="51"/>
      <c r="KH802" s="15"/>
      <c r="KI802" s="15"/>
    </row>
    <row r="803" spans="3:295">
      <c r="C803" s="1"/>
      <c r="AE803" s="51"/>
      <c r="AO803" s="49"/>
      <c r="AQ803" s="36"/>
      <c r="AR803" s="36"/>
      <c r="AS803" s="36"/>
      <c r="AT803" s="36"/>
      <c r="AU803" s="36"/>
      <c r="AV803" s="36"/>
      <c r="AW803" s="36"/>
      <c r="AX803" s="36"/>
      <c r="AY803" s="36"/>
      <c r="AZ803" s="36"/>
      <c r="BA803" s="36"/>
      <c r="GH803" s="55"/>
      <c r="KD803" s="15"/>
      <c r="KE803" s="51"/>
      <c r="KH803" s="15"/>
      <c r="KI803" s="15"/>
    </row>
    <row r="804" spans="3:295">
      <c r="C804" s="1"/>
      <c r="AE804" s="51"/>
      <c r="AO804" s="49"/>
      <c r="AQ804" s="36"/>
      <c r="AR804" s="36"/>
      <c r="AS804" s="36"/>
      <c r="AT804" s="36"/>
      <c r="AU804" s="36"/>
      <c r="AV804" s="36"/>
      <c r="AW804" s="36"/>
      <c r="AX804" s="36"/>
      <c r="AY804" s="36"/>
      <c r="AZ804" s="36"/>
      <c r="BA804" s="36"/>
      <c r="GH804" s="55"/>
      <c r="KD804" s="15"/>
      <c r="KE804" s="51"/>
      <c r="KH804" s="15"/>
      <c r="KI804" s="15"/>
    </row>
    <row r="805" spans="3:295">
      <c r="C805" s="1"/>
      <c r="AE805" s="51"/>
      <c r="AO805" s="49"/>
      <c r="AQ805" s="36"/>
      <c r="AR805" s="36"/>
      <c r="AS805" s="36"/>
      <c r="AT805" s="36"/>
      <c r="AU805" s="36"/>
      <c r="AV805" s="36"/>
      <c r="AW805" s="36"/>
      <c r="AX805" s="36"/>
      <c r="AY805" s="36"/>
      <c r="AZ805" s="36"/>
      <c r="BA805" s="36"/>
      <c r="GH805" s="55"/>
      <c r="KD805" s="15"/>
      <c r="KE805" s="51"/>
      <c r="KH805" s="15"/>
      <c r="KI805" s="15"/>
    </row>
    <row r="806" spans="3:295">
      <c r="C806" s="1"/>
      <c r="AE806" s="51"/>
      <c r="AO806" s="49"/>
      <c r="AQ806" s="36"/>
      <c r="AR806" s="36"/>
      <c r="AS806" s="36"/>
      <c r="AT806" s="36"/>
      <c r="AU806" s="36"/>
      <c r="AV806" s="36"/>
      <c r="AW806" s="36"/>
      <c r="AX806" s="36"/>
      <c r="AY806" s="36"/>
      <c r="AZ806" s="36"/>
      <c r="BA806" s="36"/>
      <c r="GH806" s="55"/>
      <c r="KD806" s="15"/>
      <c r="KE806" s="51"/>
      <c r="KH806" s="15"/>
      <c r="KI806" s="15"/>
    </row>
    <row r="807" spans="3:295">
      <c r="C807" s="1"/>
      <c r="AE807" s="51"/>
      <c r="AO807" s="49"/>
      <c r="AQ807" s="36"/>
      <c r="AR807" s="36"/>
      <c r="AS807" s="36"/>
      <c r="AT807" s="36"/>
      <c r="AU807" s="36"/>
      <c r="AV807" s="36"/>
      <c r="AW807" s="36"/>
      <c r="AX807" s="36"/>
      <c r="AY807" s="36"/>
      <c r="AZ807" s="36"/>
      <c r="BA807" s="36"/>
      <c r="GH807" s="55"/>
      <c r="KD807" s="15"/>
      <c r="KE807" s="51"/>
      <c r="KH807" s="15"/>
      <c r="KI807" s="15"/>
    </row>
    <row r="808" spans="3:295">
      <c r="C808" s="1"/>
      <c r="AE808" s="51"/>
      <c r="AO808" s="49"/>
      <c r="AQ808" s="36"/>
      <c r="AR808" s="36"/>
      <c r="AS808" s="36"/>
      <c r="AT808" s="36"/>
      <c r="AU808" s="36"/>
      <c r="AV808" s="36"/>
      <c r="AW808" s="36"/>
      <c r="AX808" s="36"/>
      <c r="AY808" s="36"/>
      <c r="AZ808" s="36"/>
      <c r="BA808" s="36"/>
      <c r="GH808" s="55"/>
      <c r="KD808" s="15"/>
      <c r="KE808" s="51"/>
      <c r="KH808" s="15"/>
      <c r="KI808" s="15"/>
    </row>
    <row r="809" spans="3:295">
      <c r="C809" s="1"/>
      <c r="AE809" s="51"/>
      <c r="AO809" s="49"/>
      <c r="AQ809" s="36"/>
      <c r="AR809" s="36"/>
      <c r="AS809" s="36"/>
      <c r="AT809" s="36"/>
      <c r="AU809" s="36"/>
      <c r="AV809" s="36"/>
      <c r="AW809" s="36"/>
      <c r="AX809" s="36"/>
      <c r="AY809" s="36"/>
      <c r="AZ809" s="36"/>
      <c r="BA809" s="36"/>
      <c r="GH809" s="55"/>
      <c r="KD809" s="15"/>
      <c r="KE809" s="51"/>
      <c r="KH809" s="15"/>
      <c r="KI809" s="15"/>
    </row>
    <row r="810" spans="3:295">
      <c r="C810" s="1"/>
      <c r="AE810" s="51"/>
      <c r="AO810" s="49"/>
      <c r="AQ810" s="36"/>
      <c r="AR810" s="36"/>
      <c r="AS810" s="36"/>
      <c r="AT810" s="36"/>
      <c r="AU810" s="36"/>
      <c r="AV810" s="36"/>
      <c r="AW810" s="36"/>
      <c r="AX810" s="36"/>
      <c r="AY810" s="36"/>
      <c r="AZ810" s="36"/>
      <c r="BA810" s="36"/>
      <c r="GH810" s="55"/>
      <c r="KD810" s="15"/>
      <c r="KE810" s="51"/>
      <c r="KH810" s="15"/>
      <c r="KI810" s="15"/>
    </row>
    <row r="811" spans="3:295">
      <c r="C811" s="1"/>
      <c r="AE811" s="51"/>
      <c r="AO811" s="49"/>
      <c r="AQ811" s="36"/>
      <c r="AR811" s="36"/>
      <c r="AS811" s="36"/>
      <c r="AT811" s="36"/>
      <c r="AU811" s="36"/>
      <c r="AV811" s="36"/>
      <c r="AW811" s="36"/>
      <c r="AX811" s="36"/>
      <c r="AY811" s="36"/>
      <c r="AZ811" s="36"/>
      <c r="BA811" s="36"/>
      <c r="GH811" s="55"/>
      <c r="KD811" s="15"/>
      <c r="KE811" s="51"/>
      <c r="KH811" s="15"/>
      <c r="KI811" s="15"/>
    </row>
    <row r="812" spans="3:295">
      <c r="C812" s="1"/>
      <c r="AE812" s="51"/>
      <c r="AO812" s="49"/>
      <c r="AQ812" s="36"/>
      <c r="AR812" s="36"/>
      <c r="AS812" s="36"/>
      <c r="AT812" s="36"/>
      <c r="AU812" s="36"/>
      <c r="AV812" s="36"/>
      <c r="AW812" s="36"/>
      <c r="AX812" s="36"/>
      <c r="AY812" s="36"/>
      <c r="AZ812" s="36"/>
      <c r="BA812" s="36"/>
      <c r="GH812" s="55"/>
      <c r="KD812" s="15"/>
      <c r="KE812" s="51"/>
      <c r="KH812" s="15"/>
      <c r="KI812" s="15"/>
    </row>
    <row r="813" spans="3:295">
      <c r="C813" s="1"/>
      <c r="AE813" s="51"/>
      <c r="AO813" s="49"/>
      <c r="AQ813" s="36"/>
      <c r="AR813" s="36"/>
      <c r="AS813" s="36"/>
      <c r="AT813" s="36"/>
      <c r="AU813" s="36"/>
      <c r="AV813" s="36"/>
      <c r="AW813" s="36"/>
      <c r="AX813" s="36"/>
      <c r="AY813" s="36"/>
      <c r="AZ813" s="36"/>
      <c r="BA813" s="36"/>
      <c r="GH813" s="55"/>
      <c r="KD813" s="15"/>
      <c r="KE813" s="51"/>
      <c r="KH813" s="15"/>
      <c r="KI813" s="15"/>
    </row>
    <row r="814" spans="3:295">
      <c r="C814" s="1"/>
      <c r="AE814" s="51"/>
      <c r="AO814" s="49"/>
      <c r="AQ814" s="36"/>
      <c r="AR814" s="36"/>
      <c r="AS814" s="36"/>
      <c r="AT814" s="36"/>
      <c r="AU814" s="36"/>
      <c r="AV814" s="36"/>
      <c r="AW814" s="36"/>
      <c r="AX814" s="36"/>
      <c r="AY814" s="36"/>
      <c r="AZ814" s="36"/>
      <c r="BA814" s="36"/>
      <c r="GH814" s="55"/>
      <c r="KD814" s="15"/>
      <c r="KE814" s="51"/>
      <c r="KH814" s="15"/>
      <c r="KI814" s="15"/>
    </row>
    <row r="815" spans="3:295">
      <c r="C815" s="1"/>
      <c r="AE815" s="51"/>
      <c r="AO815" s="49"/>
      <c r="AQ815" s="36"/>
      <c r="AR815" s="36"/>
      <c r="AS815" s="36"/>
      <c r="AT815" s="36"/>
      <c r="AU815" s="36"/>
      <c r="AV815" s="36"/>
      <c r="AW815" s="36"/>
      <c r="AX815" s="36"/>
      <c r="AY815" s="36"/>
      <c r="AZ815" s="36"/>
      <c r="BA815" s="36"/>
      <c r="GH815" s="55"/>
      <c r="KD815" s="15"/>
      <c r="KE815" s="51"/>
      <c r="KH815" s="15"/>
      <c r="KI815" s="15"/>
    </row>
    <row r="816" spans="3:295">
      <c r="C816" s="1"/>
      <c r="AE816" s="51"/>
      <c r="AO816" s="49"/>
      <c r="AQ816" s="36"/>
      <c r="AR816" s="36"/>
      <c r="AS816" s="36"/>
      <c r="AT816" s="36"/>
      <c r="AU816" s="36"/>
      <c r="AV816" s="36"/>
      <c r="AW816" s="36"/>
      <c r="AX816" s="36"/>
      <c r="AY816" s="36"/>
      <c r="AZ816" s="36"/>
      <c r="BA816" s="36"/>
      <c r="GH816" s="55"/>
      <c r="KD816" s="15"/>
      <c r="KE816" s="51"/>
      <c r="KH816" s="15"/>
      <c r="KI816" s="15"/>
    </row>
    <row r="817" spans="3:295">
      <c r="C817" s="1"/>
      <c r="AE817" s="51"/>
      <c r="AO817" s="49"/>
      <c r="AQ817" s="36"/>
      <c r="AR817" s="36"/>
      <c r="AS817" s="36"/>
      <c r="AT817" s="36"/>
      <c r="AU817" s="36"/>
      <c r="AV817" s="36"/>
      <c r="AW817" s="36"/>
      <c r="AX817" s="36"/>
      <c r="AY817" s="36"/>
      <c r="AZ817" s="36"/>
      <c r="BA817" s="36"/>
      <c r="GH817" s="55"/>
      <c r="KD817" s="15"/>
      <c r="KE817" s="51"/>
      <c r="KH817" s="15"/>
      <c r="KI817" s="15"/>
    </row>
    <row r="818" spans="3:295">
      <c r="C818" s="1"/>
      <c r="AE818" s="51"/>
      <c r="AO818" s="49"/>
      <c r="AQ818" s="36"/>
      <c r="AR818" s="36"/>
      <c r="AS818" s="36"/>
      <c r="AT818" s="36"/>
      <c r="AU818" s="36"/>
      <c r="AV818" s="36"/>
      <c r="AW818" s="36"/>
      <c r="AX818" s="36"/>
      <c r="AY818" s="36"/>
      <c r="AZ818" s="36"/>
      <c r="BA818" s="36"/>
      <c r="GH818" s="55"/>
      <c r="KD818" s="15"/>
      <c r="KE818" s="51"/>
      <c r="KH818" s="15"/>
      <c r="KI818" s="15"/>
    </row>
    <row r="819" spans="3:295">
      <c r="C819" s="1"/>
      <c r="AE819" s="51"/>
      <c r="AO819" s="49"/>
      <c r="AQ819" s="36"/>
      <c r="AR819" s="36"/>
      <c r="AS819" s="36"/>
      <c r="AT819" s="36"/>
      <c r="AU819" s="36"/>
      <c r="AV819" s="36"/>
      <c r="AW819" s="36"/>
      <c r="AX819" s="36"/>
      <c r="AY819" s="36"/>
      <c r="AZ819" s="36"/>
      <c r="BA819" s="36"/>
      <c r="GH819" s="55"/>
      <c r="KD819" s="15"/>
      <c r="KE819" s="51"/>
      <c r="KH819" s="15"/>
      <c r="KI819" s="15"/>
    </row>
    <row r="820" spans="3:295">
      <c r="C820" s="1"/>
      <c r="AE820" s="51"/>
      <c r="AO820" s="49"/>
      <c r="AQ820" s="36"/>
      <c r="AR820" s="36"/>
      <c r="AS820" s="36"/>
      <c r="AT820" s="36"/>
      <c r="AU820" s="36"/>
      <c r="AV820" s="36"/>
      <c r="AW820" s="36"/>
      <c r="AX820" s="36"/>
      <c r="AY820" s="36"/>
      <c r="AZ820" s="36"/>
      <c r="BA820" s="36"/>
      <c r="GH820" s="55"/>
      <c r="KD820" s="15"/>
      <c r="KE820" s="51"/>
      <c r="KH820" s="15"/>
      <c r="KI820" s="15"/>
    </row>
    <row r="821" spans="3:295">
      <c r="C821" s="1"/>
      <c r="AE821" s="51"/>
      <c r="AO821" s="49"/>
      <c r="AQ821" s="36"/>
      <c r="AR821" s="36"/>
      <c r="AS821" s="36"/>
      <c r="AT821" s="36"/>
      <c r="AU821" s="36"/>
      <c r="AV821" s="36"/>
      <c r="AW821" s="36"/>
      <c r="AX821" s="36"/>
      <c r="AY821" s="36"/>
      <c r="AZ821" s="36"/>
      <c r="BA821" s="36"/>
      <c r="GH821" s="55"/>
      <c r="KD821" s="15"/>
      <c r="KE821" s="51"/>
      <c r="KH821" s="15"/>
      <c r="KI821" s="15"/>
    </row>
    <row r="822" spans="3:295">
      <c r="C822" s="1"/>
      <c r="AE822" s="51"/>
      <c r="AO822" s="49"/>
      <c r="AQ822" s="36"/>
      <c r="AR822" s="36"/>
      <c r="AS822" s="36"/>
      <c r="AT822" s="36"/>
      <c r="AU822" s="36"/>
      <c r="AV822" s="36"/>
      <c r="AW822" s="36"/>
      <c r="AX822" s="36"/>
      <c r="AY822" s="36"/>
      <c r="AZ822" s="36"/>
      <c r="BA822" s="36"/>
      <c r="GH822" s="55"/>
      <c r="KD822" s="15"/>
      <c r="KE822" s="51"/>
      <c r="KH822" s="15"/>
      <c r="KI822" s="15"/>
    </row>
    <row r="823" spans="3:295">
      <c r="C823" s="1"/>
      <c r="AE823" s="51"/>
      <c r="AO823" s="49"/>
      <c r="AQ823" s="36"/>
      <c r="AR823" s="36"/>
      <c r="AS823" s="36"/>
      <c r="AT823" s="36"/>
      <c r="AU823" s="36"/>
      <c r="AV823" s="36"/>
      <c r="AW823" s="36"/>
      <c r="AX823" s="36"/>
      <c r="AY823" s="36"/>
      <c r="AZ823" s="36"/>
      <c r="BA823" s="36"/>
      <c r="GH823" s="55"/>
      <c r="KD823" s="15"/>
      <c r="KE823" s="51"/>
      <c r="KH823" s="15"/>
      <c r="KI823" s="15"/>
    </row>
    <row r="824" spans="3:295">
      <c r="C824" s="1"/>
      <c r="AE824" s="51"/>
      <c r="AO824" s="49"/>
      <c r="AQ824" s="36"/>
      <c r="AR824" s="36"/>
      <c r="AS824" s="36"/>
      <c r="AT824" s="36"/>
      <c r="AU824" s="36"/>
      <c r="AV824" s="36"/>
      <c r="AW824" s="36"/>
      <c r="AX824" s="36"/>
      <c r="AY824" s="36"/>
      <c r="AZ824" s="36"/>
      <c r="BA824" s="36"/>
      <c r="GH824" s="55"/>
      <c r="KD824" s="15"/>
      <c r="KE824" s="51"/>
      <c r="KH824" s="15"/>
      <c r="KI824" s="15"/>
    </row>
    <row r="825" spans="3:295">
      <c r="C825" s="1"/>
      <c r="AE825" s="51"/>
      <c r="AO825" s="49"/>
      <c r="AQ825" s="36"/>
      <c r="AR825" s="36"/>
      <c r="AS825" s="36"/>
      <c r="AT825" s="36"/>
      <c r="AU825" s="36"/>
      <c r="AV825" s="36"/>
      <c r="AW825" s="36"/>
      <c r="AX825" s="36"/>
      <c r="AY825" s="36"/>
      <c r="AZ825" s="36"/>
      <c r="BA825" s="36"/>
      <c r="GH825" s="55"/>
      <c r="KD825" s="15"/>
      <c r="KE825" s="51"/>
      <c r="KH825" s="15"/>
      <c r="KI825" s="15"/>
    </row>
    <row r="826" spans="3:295">
      <c r="C826" s="1"/>
      <c r="AE826" s="51"/>
      <c r="AO826" s="49"/>
      <c r="AQ826" s="36"/>
      <c r="AR826" s="36"/>
      <c r="AS826" s="36"/>
      <c r="AT826" s="36"/>
      <c r="AU826" s="36"/>
      <c r="AV826" s="36"/>
      <c r="AW826" s="36"/>
      <c r="AX826" s="36"/>
      <c r="AY826" s="36"/>
      <c r="AZ826" s="36"/>
      <c r="BA826" s="36"/>
      <c r="GH826" s="55"/>
      <c r="KD826" s="15"/>
      <c r="KE826" s="51"/>
      <c r="KH826" s="15"/>
      <c r="KI826" s="15"/>
    </row>
    <row r="827" spans="3:295">
      <c r="C827" s="1"/>
      <c r="AE827" s="51"/>
      <c r="AO827" s="49"/>
      <c r="AQ827" s="36"/>
      <c r="AR827" s="36"/>
      <c r="AS827" s="36"/>
      <c r="AT827" s="36"/>
      <c r="AU827" s="36"/>
      <c r="AV827" s="36"/>
      <c r="AW827" s="36"/>
      <c r="AX827" s="36"/>
      <c r="AY827" s="36"/>
      <c r="AZ827" s="36"/>
      <c r="BA827" s="36"/>
      <c r="GH827" s="55"/>
      <c r="KD827" s="15"/>
      <c r="KE827" s="51"/>
      <c r="KH827" s="15"/>
      <c r="KI827" s="15"/>
    </row>
    <row r="828" spans="3:295">
      <c r="C828" s="1"/>
      <c r="AE828" s="51"/>
      <c r="AO828" s="49"/>
      <c r="AQ828" s="36"/>
      <c r="AR828" s="36"/>
      <c r="AS828" s="36"/>
      <c r="AT828" s="36"/>
      <c r="AU828" s="36"/>
      <c r="AV828" s="36"/>
      <c r="AW828" s="36"/>
      <c r="AX828" s="36"/>
      <c r="AY828" s="36"/>
      <c r="AZ828" s="36"/>
      <c r="BA828" s="36"/>
      <c r="GH828" s="55"/>
      <c r="KD828" s="15"/>
      <c r="KE828" s="51"/>
      <c r="KH828" s="15"/>
      <c r="KI828" s="15"/>
    </row>
    <row r="829" spans="3:295">
      <c r="C829" s="1"/>
      <c r="AE829" s="51"/>
      <c r="AO829" s="49"/>
      <c r="AQ829" s="36"/>
      <c r="AR829" s="36"/>
      <c r="AS829" s="36"/>
      <c r="AT829" s="36"/>
      <c r="AU829" s="36"/>
      <c r="AV829" s="36"/>
      <c r="AW829" s="36"/>
      <c r="AX829" s="36"/>
      <c r="AY829" s="36"/>
      <c r="AZ829" s="36"/>
      <c r="BA829" s="36"/>
      <c r="GH829" s="55"/>
      <c r="KD829" s="15"/>
      <c r="KE829" s="51"/>
      <c r="KH829" s="15"/>
      <c r="KI829" s="15"/>
    </row>
    <row r="830" spans="3:295">
      <c r="C830" s="1"/>
      <c r="AE830" s="51"/>
      <c r="AO830" s="49"/>
      <c r="AQ830" s="36"/>
      <c r="AR830" s="36"/>
      <c r="AS830" s="36"/>
      <c r="AT830" s="36"/>
      <c r="AU830" s="36"/>
      <c r="AV830" s="36"/>
      <c r="AW830" s="36"/>
      <c r="AX830" s="36"/>
      <c r="AY830" s="36"/>
      <c r="AZ830" s="36"/>
      <c r="BA830" s="36"/>
      <c r="GH830" s="55"/>
      <c r="KD830" s="15"/>
      <c r="KE830" s="51"/>
      <c r="KH830" s="15"/>
      <c r="KI830" s="15"/>
    </row>
    <row r="831" spans="3:295">
      <c r="C831" s="1"/>
      <c r="AE831" s="51"/>
      <c r="AO831" s="49"/>
      <c r="AQ831" s="36"/>
      <c r="AR831" s="36"/>
      <c r="AS831" s="36"/>
      <c r="AT831" s="36"/>
      <c r="AU831" s="36"/>
      <c r="AV831" s="36"/>
      <c r="AW831" s="36"/>
      <c r="AX831" s="36"/>
      <c r="AY831" s="36"/>
      <c r="AZ831" s="36"/>
      <c r="BA831" s="36"/>
      <c r="GH831" s="55"/>
      <c r="KD831" s="15"/>
      <c r="KE831" s="51"/>
      <c r="KH831" s="15"/>
      <c r="KI831" s="15"/>
    </row>
    <row r="832" spans="3:295">
      <c r="C832" s="1"/>
      <c r="AE832" s="51"/>
      <c r="AO832" s="49"/>
      <c r="AQ832" s="36"/>
      <c r="AR832" s="36"/>
      <c r="AS832" s="36"/>
      <c r="AT832" s="36"/>
      <c r="AU832" s="36"/>
      <c r="AV832" s="36"/>
      <c r="AW832" s="36"/>
      <c r="AX832" s="36"/>
      <c r="AY832" s="36"/>
      <c r="AZ832" s="36"/>
      <c r="BA832" s="36"/>
      <c r="GH832" s="55"/>
      <c r="KD832" s="15"/>
      <c r="KE832" s="51"/>
      <c r="KH832" s="15"/>
      <c r="KI832" s="15"/>
    </row>
    <row r="833" spans="3:295">
      <c r="C833" s="1"/>
      <c r="AE833" s="51"/>
      <c r="AO833" s="49"/>
      <c r="AQ833" s="36"/>
      <c r="AR833" s="36"/>
      <c r="AS833" s="36"/>
      <c r="AT833" s="36"/>
      <c r="AU833" s="36"/>
      <c r="AV833" s="36"/>
      <c r="AW833" s="36"/>
      <c r="AX833" s="36"/>
      <c r="AY833" s="36"/>
      <c r="AZ833" s="36"/>
      <c r="BA833" s="36"/>
      <c r="GH833" s="55"/>
      <c r="KD833" s="15"/>
      <c r="KE833" s="51"/>
      <c r="KH833" s="15"/>
      <c r="KI833" s="15"/>
    </row>
    <row r="834" spans="3:295">
      <c r="C834" s="1"/>
      <c r="AE834" s="51"/>
      <c r="AO834" s="49"/>
      <c r="AQ834" s="36"/>
      <c r="AR834" s="36"/>
      <c r="AS834" s="36"/>
      <c r="AT834" s="36"/>
      <c r="AU834" s="36"/>
      <c r="AV834" s="36"/>
      <c r="AW834" s="36"/>
      <c r="AX834" s="36"/>
      <c r="AY834" s="36"/>
      <c r="AZ834" s="36"/>
      <c r="BA834" s="36"/>
      <c r="GH834" s="55"/>
      <c r="KD834" s="15"/>
      <c r="KE834" s="51"/>
      <c r="KH834" s="15"/>
      <c r="KI834" s="15"/>
    </row>
    <row r="835" spans="3:295">
      <c r="C835" s="1"/>
      <c r="AE835" s="51"/>
      <c r="AO835" s="49"/>
      <c r="AQ835" s="36"/>
      <c r="AR835" s="36"/>
      <c r="AS835" s="36"/>
      <c r="AT835" s="36"/>
      <c r="AU835" s="36"/>
      <c r="AV835" s="36"/>
      <c r="AW835" s="36"/>
      <c r="AX835" s="36"/>
      <c r="AY835" s="36"/>
      <c r="AZ835" s="36"/>
      <c r="BA835" s="36"/>
      <c r="GH835" s="55"/>
      <c r="KD835" s="15"/>
      <c r="KE835" s="51"/>
      <c r="KH835" s="15"/>
      <c r="KI835" s="15"/>
    </row>
    <row r="836" spans="3:295">
      <c r="C836" s="1"/>
      <c r="AE836" s="51"/>
      <c r="AO836" s="49"/>
      <c r="AQ836" s="36"/>
      <c r="AR836" s="36"/>
      <c r="AS836" s="36"/>
      <c r="AT836" s="36"/>
      <c r="AU836" s="36"/>
      <c r="AV836" s="36"/>
      <c r="AW836" s="36"/>
      <c r="AX836" s="36"/>
      <c r="AY836" s="36"/>
      <c r="AZ836" s="36"/>
      <c r="BA836" s="36"/>
      <c r="GH836" s="55"/>
      <c r="KD836" s="15"/>
      <c r="KE836" s="51"/>
      <c r="KH836" s="15"/>
      <c r="KI836" s="15"/>
    </row>
    <row r="837" spans="3:295">
      <c r="C837" s="1"/>
      <c r="AE837" s="51"/>
      <c r="AO837" s="49"/>
      <c r="AQ837" s="36"/>
      <c r="AR837" s="36"/>
      <c r="AS837" s="36"/>
      <c r="AT837" s="36"/>
      <c r="AU837" s="36"/>
      <c r="AV837" s="36"/>
      <c r="AW837" s="36"/>
      <c r="AX837" s="36"/>
      <c r="AY837" s="36"/>
      <c r="AZ837" s="36"/>
      <c r="BA837" s="36"/>
      <c r="GH837" s="55"/>
      <c r="KD837" s="15"/>
      <c r="KE837" s="51"/>
      <c r="KH837" s="15"/>
      <c r="KI837" s="15"/>
    </row>
    <row r="838" spans="3:295">
      <c r="C838" s="1"/>
      <c r="AE838" s="51"/>
      <c r="AO838" s="49"/>
      <c r="AQ838" s="36"/>
      <c r="AR838" s="36"/>
      <c r="AS838" s="36"/>
      <c r="AT838" s="36"/>
      <c r="AU838" s="36"/>
      <c r="AV838" s="36"/>
      <c r="AW838" s="36"/>
      <c r="AX838" s="36"/>
      <c r="AY838" s="36"/>
      <c r="AZ838" s="36"/>
      <c r="BA838" s="36"/>
      <c r="GH838" s="55"/>
      <c r="KD838" s="15"/>
      <c r="KE838" s="51"/>
      <c r="KH838" s="15"/>
      <c r="KI838" s="15"/>
    </row>
    <row r="839" spans="3:295">
      <c r="C839" s="1"/>
      <c r="AE839" s="51"/>
      <c r="AO839" s="49"/>
      <c r="AQ839" s="36"/>
      <c r="AR839" s="36"/>
      <c r="AS839" s="36"/>
      <c r="AT839" s="36"/>
      <c r="AU839" s="36"/>
      <c r="AV839" s="36"/>
      <c r="AW839" s="36"/>
      <c r="AX839" s="36"/>
      <c r="AY839" s="36"/>
      <c r="AZ839" s="36"/>
      <c r="BA839" s="36"/>
      <c r="GH839" s="55"/>
      <c r="KD839" s="15"/>
      <c r="KE839" s="51"/>
      <c r="KH839" s="15"/>
      <c r="KI839" s="15"/>
    </row>
    <row r="840" spans="3:295">
      <c r="C840" s="1"/>
      <c r="AE840" s="51"/>
      <c r="AO840" s="49"/>
      <c r="AQ840" s="36"/>
      <c r="AR840" s="36"/>
      <c r="AS840" s="36"/>
      <c r="AT840" s="36"/>
      <c r="AU840" s="36"/>
      <c r="AV840" s="36"/>
      <c r="AW840" s="36"/>
      <c r="AX840" s="36"/>
      <c r="AY840" s="36"/>
      <c r="AZ840" s="36"/>
      <c r="BA840" s="36"/>
      <c r="GH840" s="55"/>
      <c r="KD840" s="15"/>
      <c r="KE840" s="51"/>
      <c r="KH840" s="15"/>
      <c r="KI840" s="15"/>
    </row>
    <row r="841" spans="3:295">
      <c r="C841" s="1"/>
      <c r="AE841" s="51"/>
      <c r="AO841" s="49"/>
      <c r="AQ841" s="36"/>
      <c r="AR841" s="36"/>
      <c r="AS841" s="36"/>
      <c r="AT841" s="36"/>
      <c r="AU841" s="36"/>
      <c r="AV841" s="36"/>
      <c r="AW841" s="36"/>
      <c r="AX841" s="36"/>
      <c r="AY841" s="36"/>
      <c r="AZ841" s="36"/>
      <c r="BA841" s="36"/>
      <c r="GH841" s="55"/>
      <c r="KD841" s="15"/>
      <c r="KE841" s="51"/>
      <c r="KH841" s="15"/>
      <c r="KI841" s="15"/>
    </row>
    <row r="842" spans="3:295">
      <c r="C842" s="1"/>
      <c r="AE842" s="51"/>
      <c r="AO842" s="49"/>
      <c r="AQ842" s="36"/>
      <c r="AR842" s="36"/>
      <c r="AS842" s="36"/>
      <c r="AT842" s="36"/>
      <c r="AU842" s="36"/>
      <c r="AV842" s="36"/>
      <c r="AW842" s="36"/>
      <c r="AX842" s="36"/>
      <c r="AY842" s="36"/>
      <c r="AZ842" s="36"/>
      <c r="BA842" s="36"/>
      <c r="GH842" s="55"/>
      <c r="KD842" s="15"/>
      <c r="KE842" s="51"/>
      <c r="KH842" s="15"/>
      <c r="KI842" s="15"/>
    </row>
    <row r="843" spans="3:295">
      <c r="C843" s="1"/>
      <c r="AE843" s="51"/>
      <c r="AO843" s="49"/>
      <c r="AQ843" s="36"/>
      <c r="AR843" s="36"/>
      <c r="AS843" s="36"/>
      <c r="AT843" s="36"/>
      <c r="AU843" s="36"/>
      <c r="AV843" s="36"/>
      <c r="AW843" s="36"/>
      <c r="AX843" s="36"/>
      <c r="AY843" s="36"/>
      <c r="AZ843" s="36"/>
      <c r="BA843" s="36"/>
      <c r="GH843" s="55"/>
      <c r="KD843" s="15"/>
      <c r="KE843" s="51"/>
      <c r="KH843" s="15"/>
      <c r="KI843" s="15"/>
    </row>
    <row r="844" spans="3:295">
      <c r="C844" s="1"/>
      <c r="AE844" s="51"/>
      <c r="AO844" s="49"/>
      <c r="AQ844" s="36"/>
      <c r="AR844" s="36"/>
      <c r="AS844" s="36"/>
      <c r="AT844" s="36"/>
      <c r="AU844" s="36"/>
      <c r="AV844" s="36"/>
      <c r="AW844" s="36"/>
      <c r="AX844" s="36"/>
      <c r="AY844" s="36"/>
      <c r="AZ844" s="36"/>
      <c r="BA844" s="36"/>
      <c r="GH844" s="55"/>
      <c r="KD844" s="15"/>
      <c r="KE844" s="51"/>
      <c r="KH844" s="15"/>
      <c r="KI844" s="15"/>
    </row>
    <row r="845" spans="3:295">
      <c r="C845" s="1"/>
      <c r="AE845" s="51"/>
      <c r="AO845" s="49"/>
      <c r="AQ845" s="36"/>
      <c r="AR845" s="36"/>
      <c r="AS845" s="36"/>
      <c r="AT845" s="36"/>
      <c r="AU845" s="36"/>
      <c r="AV845" s="36"/>
      <c r="AW845" s="36"/>
      <c r="AX845" s="36"/>
      <c r="AY845" s="36"/>
      <c r="AZ845" s="36"/>
      <c r="BA845" s="36"/>
      <c r="GH845" s="55"/>
      <c r="KD845" s="15"/>
      <c r="KE845" s="51"/>
      <c r="KH845" s="15"/>
      <c r="KI845" s="15"/>
    </row>
    <row r="846" spans="3:295">
      <c r="C846" s="1"/>
      <c r="AE846" s="51"/>
      <c r="AO846" s="49"/>
      <c r="AQ846" s="36"/>
      <c r="AR846" s="36"/>
      <c r="AS846" s="36"/>
      <c r="AT846" s="36"/>
      <c r="AU846" s="36"/>
      <c r="AV846" s="36"/>
      <c r="AW846" s="36"/>
      <c r="AX846" s="36"/>
      <c r="AY846" s="36"/>
      <c r="AZ846" s="36"/>
      <c r="BA846" s="36"/>
      <c r="GH846" s="55"/>
      <c r="KD846" s="15"/>
      <c r="KE846" s="51"/>
      <c r="KH846" s="15"/>
      <c r="KI846" s="15"/>
    </row>
    <row r="847" spans="3:295">
      <c r="C847" s="1"/>
      <c r="AE847" s="51"/>
      <c r="AO847" s="49"/>
      <c r="AQ847" s="36"/>
      <c r="AR847" s="36"/>
      <c r="AS847" s="36"/>
      <c r="AT847" s="36"/>
      <c r="AU847" s="36"/>
      <c r="AV847" s="36"/>
      <c r="AW847" s="36"/>
      <c r="AX847" s="36"/>
      <c r="AY847" s="36"/>
      <c r="AZ847" s="36"/>
      <c r="BA847" s="36"/>
      <c r="GH847" s="55"/>
      <c r="KD847" s="15"/>
      <c r="KE847" s="51"/>
      <c r="KH847" s="15"/>
      <c r="KI847" s="15"/>
    </row>
    <row r="848" spans="3:295">
      <c r="C848" s="1"/>
      <c r="AE848" s="51"/>
      <c r="AO848" s="49"/>
      <c r="AQ848" s="36"/>
      <c r="AR848" s="36"/>
      <c r="AS848" s="36"/>
      <c r="AT848" s="36"/>
      <c r="AU848" s="36"/>
      <c r="AV848" s="36"/>
      <c r="AW848" s="36"/>
      <c r="AX848" s="36"/>
      <c r="AY848" s="36"/>
      <c r="AZ848" s="36"/>
      <c r="BA848" s="36"/>
      <c r="GH848" s="55"/>
      <c r="KD848" s="15"/>
      <c r="KE848" s="51"/>
      <c r="KH848" s="15"/>
      <c r="KI848" s="15"/>
    </row>
    <row r="849" spans="3:295">
      <c r="C849" s="1"/>
      <c r="AE849" s="51"/>
      <c r="AO849" s="49"/>
      <c r="AQ849" s="36"/>
      <c r="AR849" s="36"/>
      <c r="AS849" s="36"/>
      <c r="AT849" s="36"/>
      <c r="AU849" s="36"/>
      <c r="AV849" s="36"/>
      <c r="AW849" s="36"/>
      <c r="AX849" s="36"/>
      <c r="AY849" s="36"/>
      <c r="AZ849" s="36"/>
      <c r="BA849" s="36"/>
      <c r="GH849" s="55"/>
      <c r="KD849" s="15"/>
      <c r="KE849" s="51"/>
      <c r="KH849" s="15"/>
      <c r="KI849" s="15"/>
    </row>
    <row r="850" spans="3:295">
      <c r="C850" s="1"/>
      <c r="AE850" s="51"/>
      <c r="AO850" s="49"/>
      <c r="AQ850" s="36"/>
      <c r="AR850" s="36"/>
      <c r="AS850" s="36"/>
      <c r="AT850" s="36"/>
      <c r="AU850" s="36"/>
      <c r="AV850" s="36"/>
      <c r="AW850" s="36"/>
      <c r="AX850" s="36"/>
      <c r="AY850" s="36"/>
      <c r="AZ850" s="36"/>
      <c r="BA850" s="36"/>
      <c r="GH850" s="55"/>
      <c r="KD850" s="15"/>
      <c r="KE850" s="51"/>
      <c r="KH850" s="15"/>
      <c r="KI850" s="15"/>
    </row>
    <row r="851" spans="3:295">
      <c r="C851" s="1"/>
      <c r="AE851" s="51"/>
      <c r="AO851" s="49"/>
      <c r="AQ851" s="36"/>
      <c r="AR851" s="36"/>
      <c r="AS851" s="36"/>
      <c r="AT851" s="36"/>
      <c r="AU851" s="36"/>
      <c r="AV851" s="36"/>
      <c r="AW851" s="36"/>
      <c r="AX851" s="36"/>
      <c r="AY851" s="36"/>
      <c r="AZ851" s="36"/>
      <c r="BA851" s="36"/>
      <c r="GH851" s="55"/>
      <c r="KD851" s="15"/>
      <c r="KE851" s="51"/>
      <c r="KH851" s="15"/>
      <c r="KI851" s="15"/>
    </row>
    <row r="852" spans="3:295">
      <c r="C852" s="1"/>
      <c r="AE852" s="51"/>
      <c r="AO852" s="49"/>
      <c r="AQ852" s="36"/>
      <c r="AR852" s="36"/>
      <c r="AS852" s="36"/>
      <c r="AT852" s="36"/>
      <c r="AU852" s="36"/>
      <c r="AV852" s="36"/>
      <c r="AW852" s="36"/>
      <c r="AX852" s="36"/>
      <c r="AY852" s="36"/>
      <c r="AZ852" s="36"/>
      <c r="BA852" s="36"/>
      <c r="GH852" s="55"/>
      <c r="KD852" s="15"/>
      <c r="KE852" s="51"/>
      <c r="KH852" s="15"/>
      <c r="KI852" s="15"/>
    </row>
    <row r="853" spans="3:295">
      <c r="C853" s="1"/>
      <c r="AE853" s="51"/>
      <c r="AO853" s="49"/>
      <c r="AQ853" s="36"/>
      <c r="AR853" s="36"/>
      <c r="AS853" s="36"/>
      <c r="AT853" s="36"/>
      <c r="AU853" s="36"/>
      <c r="AV853" s="36"/>
      <c r="AW853" s="36"/>
      <c r="AX853" s="36"/>
      <c r="AY853" s="36"/>
      <c r="AZ853" s="36"/>
      <c r="BA853" s="36"/>
      <c r="GH853" s="55"/>
      <c r="KD853" s="15"/>
      <c r="KE853" s="51"/>
      <c r="KH853" s="15"/>
      <c r="KI853" s="15"/>
    </row>
    <row r="854" spans="3:295">
      <c r="C854" s="1"/>
      <c r="AE854" s="51"/>
      <c r="AO854" s="49"/>
      <c r="AQ854" s="36"/>
      <c r="AR854" s="36"/>
      <c r="AS854" s="36"/>
      <c r="AT854" s="36"/>
      <c r="AU854" s="36"/>
      <c r="AV854" s="36"/>
      <c r="AW854" s="36"/>
      <c r="AX854" s="36"/>
      <c r="AY854" s="36"/>
      <c r="AZ854" s="36"/>
      <c r="BA854" s="36"/>
      <c r="GH854" s="55"/>
      <c r="KD854" s="15"/>
      <c r="KE854" s="51"/>
      <c r="KH854" s="15"/>
      <c r="KI854" s="15"/>
    </row>
    <row r="855" spans="3:295">
      <c r="C855" s="1"/>
      <c r="AE855" s="51"/>
      <c r="AO855" s="49"/>
      <c r="AQ855" s="36"/>
      <c r="AR855" s="36"/>
      <c r="AS855" s="36"/>
      <c r="AT855" s="36"/>
      <c r="AU855" s="36"/>
      <c r="AV855" s="36"/>
      <c r="AW855" s="36"/>
      <c r="AX855" s="36"/>
      <c r="AY855" s="36"/>
      <c r="AZ855" s="36"/>
      <c r="BA855" s="36"/>
      <c r="GH855" s="55"/>
      <c r="KD855" s="15"/>
      <c r="KE855" s="51"/>
      <c r="KH855" s="15"/>
      <c r="KI855" s="15"/>
    </row>
    <row r="856" spans="3:295">
      <c r="C856" s="1"/>
      <c r="AE856" s="51"/>
      <c r="AO856" s="49"/>
      <c r="AQ856" s="36"/>
      <c r="AR856" s="36"/>
      <c r="AS856" s="36"/>
      <c r="AT856" s="36"/>
      <c r="AU856" s="36"/>
      <c r="AV856" s="36"/>
      <c r="AW856" s="36"/>
      <c r="AX856" s="36"/>
      <c r="AY856" s="36"/>
      <c r="AZ856" s="36"/>
      <c r="BA856" s="36"/>
      <c r="GH856" s="55"/>
      <c r="KD856" s="15"/>
      <c r="KE856" s="51"/>
      <c r="KH856" s="15"/>
      <c r="KI856" s="15"/>
    </row>
    <row r="857" spans="3:295">
      <c r="C857" s="1"/>
      <c r="AE857" s="51"/>
      <c r="AO857" s="49"/>
      <c r="AQ857" s="36"/>
      <c r="AR857" s="36"/>
      <c r="AS857" s="36"/>
      <c r="AT857" s="36"/>
      <c r="AU857" s="36"/>
      <c r="AV857" s="36"/>
      <c r="AW857" s="36"/>
      <c r="AX857" s="36"/>
      <c r="AY857" s="36"/>
      <c r="AZ857" s="36"/>
      <c r="BA857" s="36"/>
      <c r="GH857" s="55"/>
      <c r="KD857" s="15"/>
      <c r="KE857" s="51"/>
      <c r="KH857" s="15"/>
      <c r="KI857" s="15"/>
    </row>
    <row r="858" spans="3:295">
      <c r="C858" s="1"/>
      <c r="AE858" s="51"/>
      <c r="AO858" s="49"/>
      <c r="AQ858" s="36"/>
      <c r="AR858" s="36"/>
      <c r="AS858" s="36"/>
      <c r="AT858" s="36"/>
      <c r="AU858" s="36"/>
      <c r="AV858" s="36"/>
      <c r="AW858" s="36"/>
      <c r="AX858" s="36"/>
      <c r="AY858" s="36"/>
      <c r="AZ858" s="36"/>
      <c r="BA858" s="36"/>
      <c r="GH858" s="55"/>
      <c r="KD858" s="15"/>
      <c r="KE858" s="51"/>
      <c r="KH858" s="15"/>
      <c r="KI858" s="15"/>
    </row>
    <row r="859" spans="3:295">
      <c r="C859" s="1"/>
      <c r="AE859" s="51"/>
      <c r="AO859" s="49"/>
      <c r="AQ859" s="36"/>
      <c r="AR859" s="36"/>
      <c r="AS859" s="36"/>
      <c r="AT859" s="36"/>
      <c r="AU859" s="36"/>
      <c r="AV859" s="36"/>
      <c r="AW859" s="36"/>
      <c r="AX859" s="36"/>
      <c r="AY859" s="36"/>
      <c r="AZ859" s="36"/>
      <c r="BA859" s="36"/>
      <c r="GH859" s="55"/>
      <c r="KD859" s="15"/>
      <c r="KE859" s="51"/>
      <c r="KH859" s="15"/>
      <c r="KI859" s="15"/>
    </row>
    <row r="860" spans="3:295">
      <c r="C860" s="1"/>
      <c r="AE860" s="51"/>
      <c r="AO860" s="49"/>
      <c r="AQ860" s="36"/>
      <c r="AR860" s="36"/>
      <c r="AS860" s="36"/>
      <c r="AT860" s="36"/>
      <c r="AU860" s="36"/>
      <c r="AV860" s="36"/>
      <c r="AW860" s="36"/>
      <c r="AX860" s="36"/>
      <c r="AY860" s="36"/>
      <c r="AZ860" s="36"/>
      <c r="BA860" s="36"/>
      <c r="GH860" s="55"/>
      <c r="KD860" s="15"/>
      <c r="KE860" s="51"/>
      <c r="KH860" s="15"/>
      <c r="KI860" s="15"/>
    </row>
    <row r="861" spans="3:295">
      <c r="C861" s="1"/>
      <c r="AE861" s="51"/>
      <c r="AO861" s="49"/>
      <c r="AQ861" s="36"/>
      <c r="AR861" s="36"/>
      <c r="AS861" s="36"/>
      <c r="AT861" s="36"/>
      <c r="AU861" s="36"/>
      <c r="AV861" s="36"/>
      <c r="AW861" s="36"/>
      <c r="AX861" s="36"/>
      <c r="AY861" s="36"/>
      <c r="AZ861" s="36"/>
      <c r="BA861" s="36"/>
      <c r="GH861" s="55"/>
      <c r="KD861" s="15"/>
      <c r="KE861" s="51"/>
      <c r="KH861" s="15"/>
      <c r="KI861" s="15"/>
    </row>
    <row r="862" spans="3:295">
      <c r="C862" s="1"/>
      <c r="AE862" s="51"/>
      <c r="AO862" s="49"/>
      <c r="AQ862" s="36"/>
      <c r="AR862" s="36"/>
      <c r="AS862" s="36"/>
      <c r="AT862" s="36"/>
      <c r="AU862" s="36"/>
      <c r="AV862" s="36"/>
      <c r="AW862" s="36"/>
      <c r="AX862" s="36"/>
      <c r="AY862" s="36"/>
      <c r="AZ862" s="36"/>
      <c r="BA862" s="36"/>
      <c r="GH862" s="55"/>
      <c r="KD862" s="15"/>
      <c r="KE862" s="51"/>
      <c r="KH862" s="15"/>
      <c r="KI862" s="15"/>
    </row>
    <row r="863" spans="3:295">
      <c r="C863" s="1"/>
      <c r="AE863" s="51"/>
      <c r="AO863" s="49"/>
      <c r="AQ863" s="36"/>
      <c r="AR863" s="36"/>
      <c r="AS863" s="36"/>
      <c r="AT863" s="36"/>
      <c r="AU863" s="36"/>
      <c r="AV863" s="36"/>
      <c r="AW863" s="36"/>
      <c r="AX863" s="36"/>
      <c r="AY863" s="36"/>
      <c r="AZ863" s="36"/>
      <c r="BA863" s="36"/>
      <c r="GH863" s="55"/>
      <c r="KD863" s="15"/>
      <c r="KE863" s="51"/>
      <c r="KH863" s="15"/>
      <c r="KI863" s="15"/>
    </row>
    <row r="864" spans="3:295">
      <c r="C864" s="1"/>
      <c r="AE864" s="51"/>
      <c r="AO864" s="49"/>
      <c r="AQ864" s="36"/>
      <c r="AR864" s="36"/>
      <c r="AS864" s="36"/>
      <c r="AT864" s="36"/>
      <c r="AU864" s="36"/>
      <c r="AV864" s="36"/>
      <c r="AW864" s="36"/>
      <c r="AX864" s="36"/>
      <c r="AY864" s="36"/>
      <c r="AZ864" s="36"/>
      <c r="BA864" s="36"/>
      <c r="GH864" s="55"/>
      <c r="KD864" s="15"/>
      <c r="KE864" s="51"/>
      <c r="KH864" s="15"/>
      <c r="KI864" s="15"/>
    </row>
    <row r="865" spans="3:295">
      <c r="C865" s="1"/>
      <c r="AE865" s="51"/>
      <c r="AO865" s="49"/>
      <c r="AQ865" s="36"/>
      <c r="AR865" s="36"/>
      <c r="AS865" s="36"/>
      <c r="AT865" s="36"/>
      <c r="AU865" s="36"/>
      <c r="AV865" s="36"/>
      <c r="AW865" s="36"/>
      <c r="AX865" s="36"/>
      <c r="AY865" s="36"/>
      <c r="AZ865" s="36"/>
      <c r="BA865" s="36"/>
      <c r="GH865" s="55"/>
      <c r="KD865" s="15"/>
      <c r="KE865" s="51"/>
      <c r="KH865" s="15"/>
      <c r="KI865" s="15"/>
    </row>
    <row r="866" spans="3:295">
      <c r="C866" s="1"/>
      <c r="AE866" s="51"/>
      <c r="AO866" s="49"/>
      <c r="AQ866" s="36"/>
      <c r="AR866" s="36"/>
      <c r="AS866" s="36"/>
      <c r="AT866" s="36"/>
      <c r="AU866" s="36"/>
      <c r="AV866" s="36"/>
      <c r="AW866" s="36"/>
      <c r="AX866" s="36"/>
      <c r="AY866" s="36"/>
      <c r="AZ866" s="36"/>
      <c r="BA866" s="36"/>
      <c r="GH866" s="55"/>
      <c r="KD866" s="15"/>
      <c r="KE866" s="51"/>
      <c r="KH866" s="15"/>
      <c r="KI866" s="15"/>
    </row>
    <row r="867" spans="3:295">
      <c r="C867" s="1"/>
      <c r="AE867" s="51"/>
      <c r="AO867" s="49"/>
      <c r="AQ867" s="36"/>
      <c r="AR867" s="36"/>
      <c r="AS867" s="36"/>
      <c r="AT867" s="36"/>
      <c r="AU867" s="36"/>
      <c r="AV867" s="36"/>
      <c r="AW867" s="36"/>
      <c r="AX867" s="36"/>
      <c r="AY867" s="36"/>
      <c r="AZ867" s="36"/>
      <c r="BA867" s="36"/>
      <c r="GH867" s="55"/>
      <c r="KD867" s="15"/>
      <c r="KE867" s="51"/>
      <c r="KH867" s="15"/>
      <c r="KI867" s="15"/>
    </row>
    <row r="868" spans="3:295">
      <c r="C868" s="1"/>
      <c r="AE868" s="51"/>
      <c r="AO868" s="49"/>
      <c r="AQ868" s="36"/>
      <c r="AR868" s="36"/>
      <c r="AS868" s="36"/>
      <c r="AT868" s="36"/>
      <c r="AU868" s="36"/>
      <c r="AV868" s="36"/>
      <c r="AW868" s="36"/>
      <c r="AX868" s="36"/>
      <c r="AY868" s="36"/>
      <c r="AZ868" s="36"/>
      <c r="BA868" s="36"/>
      <c r="GH868" s="55"/>
      <c r="KD868" s="15"/>
      <c r="KE868" s="51"/>
      <c r="KH868" s="15"/>
      <c r="KI868" s="15"/>
    </row>
    <row r="869" spans="3:295">
      <c r="C869" s="1"/>
      <c r="AE869" s="51"/>
      <c r="AO869" s="49"/>
      <c r="AQ869" s="36"/>
      <c r="AR869" s="36"/>
      <c r="AS869" s="36"/>
      <c r="AT869" s="36"/>
      <c r="AU869" s="36"/>
      <c r="AV869" s="36"/>
      <c r="AW869" s="36"/>
      <c r="AX869" s="36"/>
      <c r="AY869" s="36"/>
      <c r="AZ869" s="36"/>
      <c r="BA869" s="36"/>
      <c r="GH869" s="55"/>
      <c r="KD869" s="15"/>
      <c r="KE869" s="51"/>
      <c r="KH869" s="15"/>
      <c r="KI869" s="15"/>
    </row>
    <row r="870" spans="3:295">
      <c r="C870" s="1"/>
      <c r="AE870" s="51"/>
      <c r="AO870" s="49"/>
      <c r="AQ870" s="36"/>
      <c r="AR870" s="36"/>
      <c r="AS870" s="36"/>
      <c r="AT870" s="36"/>
      <c r="AU870" s="36"/>
      <c r="AV870" s="36"/>
      <c r="AW870" s="36"/>
      <c r="AX870" s="36"/>
      <c r="AY870" s="36"/>
      <c r="AZ870" s="36"/>
      <c r="BA870" s="36"/>
      <c r="GH870" s="55"/>
      <c r="KD870" s="15"/>
      <c r="KE870" s="51"/>
      <c r="KH870" s="15"/>
      <c r="KI870" s="15"/>
    </row>
    <row r="871" spans="3:295">
      <c r="C871" s="1"/>
      <c r="AE871" s="51"/>
      <c r="AO871" s="49"/>
      <c r="AQ871" s="36"/>
      <c r="AR871" s="36"/>
      <c r="AS871" s="36"/>
      <c r="AT871" s="36"/>
      <c r="AU871" s="36"/>
      <c r="AV871" s="36"/>
      <c r="AW871" s="36"/>
      <c r="AX871" s="36"/>
      <c r="AY871" s="36"/>
      <c r="AZ871" s="36"/>
      <c r="BA871" s="36"/>
      <c r="GH871" s="55"/>
      <c r="KD871" s="15"/>
      <c r="KE871" s="51"/>
      <c r="KH871" s="15"/>
      <c r="KI871" s="15"/>
    </row>
    <row r="872" spans="3:295">
      <c r="C872" s="1"/>
      <c r="AE872" s="51"/>
      <c r="AO872" s="49"/>
      <c r="AQ872" s="36"/>
      <c r="AR872" s="36"/>
      <c r="AS872" s="36"/>
      <c r="AT872" s="36"/>
      <c r="AU872" s="36"/>
      <c r="AV872" s="36"/>
      <c r="AW872" s="36"/>
      <c r="AX872" s="36"/>
      <c r="AY872" s="36"/>
      <c r="AZ872" s="36"/>
      <c r="BA872" s="36"/>
      <c r="GH872" s="55"/>
      <c r="KD872" s="15"/>
      <c r="KE872" s="51"/>
      <c r="KH872" s="15"/>
      <c r="KI872" s="15"/>
    </row>
    <row r="873" spans="3:295">
      <c r="C873" s="1"/>
      <c r="AE873" s="51"/>
      <c r="AO873" s="49"/>
      <c r="AQ873" s="36"/>
      <c r="AR873" s="36"/>
      <c r="AS873" s="36"/>
      <c r="AT873" s="36"/>
      <c r="AU873" s="36"/>
      <c r="AV873" s="36"/>
      <c r="AW873" s="36"/>
      <c r="AX873" s="36"/>
      <c r="AY873" s="36"/>
      <c r="AZ873" s="36"/>
      <c r="BA873" s="36"/>
      <c r="GH873" s="55"/>
      <c r="KD873" s="15"/>
      <c r="KE873" s="51"/>
      <c r="KH873" s="15"/>
      <c r="KI873" s="15"/>
    </row>
    <row r="874" spans="3:295">
      <c r="C874" s="1"/>
      <c r="AE874" s="51"/>
      <c r="AO874" s="49"/>
      <c r="AQ874" s="36"/>
      <c r="AR874" s="36"/>
      <c r="AS874" s="36"/>
      <c r="AT874" s="36"/>
      <c r="AU874" s="36"/>
      <c r="AV874" s="36"/>
      <c r="AW874" s="36"/>
      <c r="AX874" s="36"/>
      <c r="AY874" s="36"/>
      <c r="AZ874" s="36"/>
      <c r="BA874" s="36"/>
      <c r="GH874" s="55"/>
      <c r="KD874" s="15"/>
      <c r="KE874" s="51"/>
      <c r="KH874" s="15"/>
      <c r="KI874" s="15"/>
    </row>
    <row r="875" spans="3:295">
      <c r="C875" s="1"/>
      <c r="AE875" s="51"/>
      <c r="AO875" s="49"/>
      <c r="AQ875" s="36"/>
      <c r="AR875" s="36"/>
      <c r="AS875" s="36"/>
      <c r="AT875" s="36"/>
      <c r="AU875" s="36"/>
      <c r="AV875" s="36"/>
      <c r="AW875" s="36"/>
      <c r="AX875" s="36"/>
      <c r="AY875" s="36"/>
      <c r="AZ875" s="36"/>
      <c r="BA875" s="36"/>
      <c r="GH875" s="55"/>
      <c r="KD875" s="15"/>
      <c r="KE875" s="51"/>
      <c r="KH875" s="15"/>
      <c r="KI875" s="15"/>
    </row>
    <row r="876" spans="3:295">
      <c r="C876" s="1"/>
      <c r="AE876" s="51"/>
      <c r="AO876" s="49"/>
      <c r="AQ876" s="36"/>
      <c r="AR876" s="36"/>
      <c r="AS876" s="36"/>
      <c r="AT876" s="36"/>
      <c r="AU876" s="36"/>
      <c r="AV876" s="36"/>
      <c r="AW876" s="36"/>
      <c r="AX876" s="36"/>
      <c r="AY876" s="36"/>
      <c r="AZ876" s="36"/>
      <c r="BA876" s="36"/>
      <c r="GH876" s="55"/>
      <c r="KD876" s="15"/>
      <c r="KE876" s="51"/>
      <c r="KH876" s="15"/>
      <c r="KI876" s="15"/>
    </row>
    <row r="877" spans="3:295">
      <c r="C877" s="1"/>
      <c r="AE877" s="51"/>
      <c r="AO877" s="49"/>
      <c r="AQ877" s="36"/>
      <c r="AR877" s="36"/>
      <c r="AS877" s="36"/>
      <c r="AT877" s="36"/>
      <c r="AU877" s="36"/>
      <c r="AV877" s="36"/>
      <c r="AW877" s="36"/>
      <c r="AX877" s="36"/>
      <c r="AY877" s="36"/>
      <c r="AZ877" s="36"/>
      <c r="BA877" s="36"/>
      <c r="GH877" s="55"/>
      <c r="KD877" s="15"/>
      <c r="KE877" s="51"/>
      <c r="KH877" s="15"/>
      <c r="KI877" s="15"/>
    </row>
    <row r="878" spans="3:295">
      <c r="C878" s="1"/>
      <c r="AE878" s="51"/>
      <c r="AO878" s="49"/>
      <c r="AQ878" s="36"/>
      <c r="AR878" s="36"/>
      <c r="AS878" s="36"/>
      <c r="AT878" s="36"/>
      <c r="AU878" s="36"/>
      <c r="AV878" s="36"/>
      <c r="AW878" s="36"/>
      <c r="AX878" s="36"/>
      <c r="AY878" s="36"/>
      <c r="AZ878" s="36"/>
      <c r="BA878" s="36"/>
      <c r="GH878" s="55"/>
      <c r="KD878" s="15"/>
      <c r="KE878" s="51"/>
      <c r="KH878" s="15"/>
      <c r="KI878" s="15"/>
    </row>
    <row r="879" spans="3:295">
      <c r="C879" s="1"/>
      <c r="AE879" s="51"/>
      <c r="AO879" s="49"/>
      <c r="AQ879" s="36"/>
      <c r="AR879" s="36"/>
      <c r="AS879" s="36"/>
      <c r="AT879" s="36"/>
      <c r="AU879" s="36"/>
      <c r="AV879" s="36"/>
      <c r="AW879" s="36"/>
      <c r="AX879" s="36"/>
      <c r="AY879" s="36"/>
      <c r="AZ879" s="36"/>
      <c r="BA879" s="36"/>
      <c r="GH879" s="55"/>
      <c r="KD879" s="15"/>
      <c r="KE879" s="51"/>
      <c r="KH879" s="15"/>
      <c r="KI879" s="15"/>
    </row>
    <row r="880" spans="3:295">
      <c r="C880" s="1"/>
      <c r="AE880" s="51"/>
      <c r="AO880" s="49"/>
      <c r="AQ880" s="36"/>
      <c r="AR880" s="36"/>
      <c r="AS880" s="36"/>
      <c r="AT880" s="36"/>
      <c r="AU880" s="36"/>
      <c r="AV880" s="36"/>
      <c r="AW880" s="36"/>
      <c r="AX880" s="36"/>
      <c r="AY880" s="36"/>
      <c r="AZ880" s="36"/>
      <c r="BA880" s="36"/>
      <c r="GH880" s="55"/>
      <c r="KD880" s="15"/>
      <c r="KE880" s="51"/>
      <c r="KH880" s="15"/>
      <c r="KI880" s="15"/>
    </row>
    <row r="881" spans="3:295">
      <c r="C881" s="1"/>
      <c r="AE881" s="51"/>
      <c r="AO881" s="49"/>
      <c r="AQ881" s="36"/>
      <c r="AR881" s="36"/>
      <c r="AS881" s="36"/>
      <c r="AT881" s="36"/>
      <c r="AU881" s="36"/>
      <c r="AV881" s="36"/>
      <c r="AW881" s="36"/>
      <c r="AX881" s="36"/>
      <c r="AY881" s="36"/>
      <c r="AZ881" s="36"/>
      <c r="BA881" s="36"/>
      <c r="GH881" s="55"/>
      <c r="KD881" s="15"/>
      <c r="KE881" s="51"/>
      <c r="KH881" s="15"/>
      <c r="KI881" s="15"/>
    </row>
    <row r="882" spans="3:295">
      <c r="C882" s="1"/>
      <c r="AE882" s="51"/>
      <c r="AO882" s="49"/>
      <c r="AQ882" s="36"/>
      <c r="AR882" s="36"/>
      <c r="AS882" s="36"/>
      <c r="AT882" s="36"/>
      <c r="AU882" s="36"/>
      <c r="AV882" s="36"/>
      <c r="AW882" s="36"/>
      <c r="AX882" s="36"/>
      <c r="AY882" s="36"/>
      <c r="AZ882" s="36"/>
      <c r="BA882" s="36"/>
      <c r="GH882" s="55"/>
      <c r="KD882" s="15"/>
      <c r="KE882" s="51"/>
      <c r="KH882" s="15"/>
      <c r="KI882" s="15"/>
    </row>
    <row r="883" spans="3:295">
      <c r="C883" s="1"/>
      <c r="AE883" s="51"/>
      <c r="AO883" s="49"/>
      <c r="AQ883" s="36"/>
      <c r="AR883" s="36"/>
      <c r="AS883" s="36"/>
      <c r="AT883" s="36"/>
      <c r="AU883" s="36"/>
      <c r="AV883" s="36"/>
      <c r="AW883" s="36"/>
      <c r="AX883" s="36"/>
      <c r="AY883" s="36"/>
      <c r="AZ883" s="36"/>
      <c r="BA883" s="36"/>
      <c r="GH883" s="55"/>
      <c r="KD883" s="15"/>
      <c r="KE883" s="51"/>
      <c r="KH883" s="15"/>
      <c r="KI883" s="15"/>
    </row>
    <row r="884" spans="3:295">
      <c r="C884" s="1"/>
      <c r="AE884" s="51"/>
      <c r="AO884" s="49"/>
      <c r="AQ884" s="36"/>
      <c r="AR884" s="36"/>
      <c r="AS884" s="36"/>
      <c r="AT884" s="36"/>
      <c r="AU884" s="36"/>
      <c r="AV884" s="36"/>
      <c r="AW884" s="36"/>
      <c r="AX884" s="36"/>
      <c r="AY884" s="36"/>
      <c r="AZ884" s="36"/>
      <c r="BA884" s="36"/>
      <c r="GH884" s="55"/>
      <c r="KD884" s="15"/>
      <c r="KE884" s="51"/>
      <c r="KH884" s="15"/>
      <c r="KI884" s="15"/>
    </row>
    <row r="885" spans="3:295">
      <c r="C885" s="1"/>
      <c r="AE885" s="51"/>
      <c r="AO885" s="49"/>
      <c r="AQ885" s="36"/>
      <c r="AR885" s="36"/>
      <c r="AS885" s="36"/>
      <c r="AT885" s="36"/>
      <c r="AU885" s="36"/>
      <c r="AV885" s="36"/>
      <c r="AW885" s="36"/>
      <c r="AX885" s="36"/>
      <c r="AY885" s="36"/>
      <c r="AZ885" s="36"/>
      <c r="BA885" s="36"/>
      <c r="GH885" s="55"/>
      <c r="KD885" s="15"/>
      <c r="KE885" s="51"/>
      <c r="KH885" s="15"/>
      <c r="KI885" s="15"/>
    </row>
    <row r="886" spans="3:295">
      <c r="C886" s="1"/>
      <c r="AE886" s="51"/>
      <c r="AO886" s="49"/>
      <c r="AQ886" s="36"/>
      <c r="AR886" s="36"/>
      <c r="AS886" s="36"/>
      <c r="AT886" s="36"/>
      <c r="AU886" s="36"/>
      <c r="AV886" s="36"/>
      <c r="AW886" s="36"/>
      <c r="AX886" s="36"/>
      <c r="AY886" s="36"/>
      <c r="AZ886" s="36"/>
      <c r="BA886" s="36"/>
      <c r="GH886" s="55"/>
      <c r="KD886" s="15"/>
      <c r="KE886" s="51"/>
      <c r="KH886" s="15"/>
      <c r="KI886" s="15"/>
    </row>
    <row r="887" spans="3:295">
      <c r="C887" s="1"/>
      <c r="AE887" s="51"/>
      <c r="AO887" s="49"/>
      <c r="AQ887" s="36"/>
      <c r="AR887" s="36"/>
      <c r="AS887" s="36"/>
      <c r="AT887" s="36"/>
      <c r="AU887" s="36"/>
      <c r="AV887" s="36"/>
      <c r="AW887" s="36"/>
      <c r="AX887" s="36"/>
      <c r="AY887" s="36"/>
      <c r="AZ887" s="36"/>
      <c r="BA887" s="36"/>
      <c r="GH887" s="55"/>
      <c r="KD887" s="15"/>
      <c r="KE887" s="51"/>
      <c r="KH887" s="15"/>
      <c r="KI887" s="15"/>
    </row>
    <row r="888" spans="3:295">
      <c r="C888" s="1"/>
      <c r="AE888" s="51"/>
      <c r="AO888" s="49"/>
      <c r="AQ888" s="36"/>
      <c r="AR888" s="36"/>
      <c r="AS888" s="36"/>
      <c r="AT888" s="36"/>
      <c r="AU888" s="36"/>
      <c r="AV888" s="36"/>
      <c r="AW888" s="36"/>
      <c r="AX888" s="36"/>
      <c r="AY888" s="36"/>
      <c r="AZ888" s="36"/>
      <c r="BA888" s="36"/>
      <c r="GH888" s="55"/>
      <c r="KD888" s="15"/>
      <c r="KE888" s="51"/>
      <c r="KH888" s="15"/>
      <c r="KI888" s="15"/>
    </row>
    <row r="889" spans="3:295">
      <c r="C889" s="1"/>
      <c r="AE889" s="51"/>
      <c r="AO889" s="49"/>
      <c r="AQ889" s="36"/>
      <c r="AR889" s="36"/>
      <c r="AS889" s="36"/>
      <c r="AT889" s="36"/>
      <c r="AU889" s="36"/>
      <c r="AV889" s="36"/>
      <c r="AW889" s="36"/>
      <c r="AX889" s="36"/>
      <c r="AY889" s="36"/>
      <c r="AZ889" s="36"/>
      <c r="BA889" s="36"/>
      <c r="GH889" s="55"/>
      <c r="KD889" s="15"/>
      <c r="KE889" s="51"/>
      <c r="KH889" s="15"/>
      <c r="KI889" s="15"/>
    </row>
    <row r="890" spans="3:295">
      <c r="C890" s="1"/>
      <c r="AE890" s="51"/>
      <c r="AO890" s="49"/>
      <c r="AQ890" s="36"/>
      <c r="AR890" s="36"/>
      <c r="AS890" s="36"/>
      <c r="AT890" s="36"/>
      <c r="AU890" s="36"/>
      <c r="AV890" s="36"/>
      <c r="AW890" s="36"/>
      <c r="AX890" s="36"/>
      <c r="AY890" s="36"/>
      <c r="AZ890" s="36"/>
      <c r="BA890" s="36"/>
      <c r="GH890" s="55"/>
      <c r="KD890" s="15"/>
      <c r="KE890" s="51"/>
      <c r="KH890" s="15"/>
      <c r="KI890" s="15"/>
    </row>
    <row r="891" spans="3:295">
      <c r="C891" s="1"/>
      <c r="AE891" s="51"/>
      <c r="AO891" s="49"/>
      <c r="AQ891" s="36"/>
      <c r="AR891" s="36"/>
      <c r="AS891" s="36"/>
      <c r="AT891" s="36"/>
      <c r="AU891" s="36"/>
      <c r="AV891" s="36"/>
      <c r="AW891" s="36"/>
      <c r="AX891" s="36"/>
      <c r="AY891" s="36"/>
      <c r="AZ891" s="36"/>
      <c r="BA891" s="36"/>
      <c r="GH891" s="55"/>
      <c r="KD891" s="15"/>
      <c r="KE891" s="51"/>
      <c r="KH891" s="15"/>
      <c r="KI891" s="15"/>
    </row>
    <row r="892" spans="3:295">
      <c r="C892" s="1"/>
      <c r="AE892" s="51"/>
      <c r="AO892" s="49"/>
      <c r="AQ892" s="36"/>
      <c r="AR892" s="36"/>
      <c r="AS892" s="36"/>
      <c r="AT892" s="36"/>
      <c r="AU892" s="36"/>
      <c r="AV892" s="36"/>
      <c r="AW892" s="36"/>
      <c r="AX892" s="36"/>
      <c r="AY892" s="36"/>
      <c r="AZ892" s="36"/>
      <c r="BA892" s="36"/>
      <c r="GH892" s="55"/>
      <c r="KD892" s="15"/>
      <c r="KE892" s="51"/>
      <c r="KH892" s="15"/>
      <c r="KI892" s="15"/>
    </row>
    <row r="893" spans="3:295">
      <c r="C893" s="1"/>
      <c r="AE893" s="51"/>
      <c r="AO893" s="49"/>
      <c r="AQ893" s="36"/>
      <c r="AR893" s="36"/>
      <c r="AS893" s="36"/>
      <c r="AT893" s="36"/>
      <c r="AU893" s="36"/>
      <c r="AV893" s="36"/>
      <c r="AW893" s="36"/>
      <c r="AX893" s="36"/>
      <c r="AY893" s="36"/>
      <c r="AZ893" s="36"/>
      <c r="BA893" s="36"/>
      <c r="GH893" s="55"/>
      <c r="KD893" s="15"/>
      <c r="KE893" s="51"/>
      <c r="KH893" s="15"/>
      <c r="KI893" s="15"/>
    </row>
    <row r="894" spans="3:295">
      <c r="C894" s="1"/>
      <c r="AE894" s="51"/>
      <c r="AO894" s="49"/>
      <c r="AQ894" s="36"/>
      <c r="AR894" s="36"/>
      <c r="AS894" s="36"/>
      <c r="AT894" s="36"/>
      <c r="AU894" s="36"/>
      <c r="AV894" s="36"/>
      <c r="AW894" s="36"/>
      <c r="AX894" s="36"/>
      <c r="AY894" s="36"/>
      <c r="AZ894" s="36"/>
      <c r="BA894" s="36"/>
      <c r="GH894" s="55"/>
      <c r="KD894" s="15"/>
      <c r="KE894" s="51"/>
      <c r="KH894" s="15"/>
      <c r="KI894" s="15"/>
    </row>
    <row r="895" spans="3:295">
      <c r="C895" s="1"/>
      <c r="AE895" s="51"/>
      <c r="AO895" s="49"/>
      <c r="AQ895" s="36"/>
      <c r="AR895" s="36"/>
      <c r="AS895" s="36"/>
      <c r="AT895" s="36"/>
      <c r="AU895" s="36"/>
      <c r="AV895" s="36"/>
      <c r="AW895" s="36"/>
      <c r="AX895" s="36"/>
      <c r="AY895" s="36"/>
      <c r="AZ895" s="36"/>
      <c r="BA895" s="36"/>
      <c r="GH895" s="55"/>
      <c r="KD895" s="15"/>
      <c r="KE895" s="51"/>
      <c r="KH895" s="15"/>
      <c r="KI895" s="15"/>
    </row>
    <row r="896" spans="3:295">
      <c r="C896" s="1"/>
      <c r="AE896" s="51"/>
      <c r="AO896" s="49"/>
      <c r="AQ896" s="36"/>
      <c r="AR896" s="36"/>
      <c r="AS896" s="36"/>
      <c r="AT896" s="36"/>
      <c r="AU896" s="36"/>
      <c r="AV896" s="36"/>
      <c r="AW896" s="36"/>
      <c r="AX896" s="36"/>
      <c r="AY896" s="36"/>
      <c r="AZ896" s="36"/>
      <c r="BA896" s="36"/>
      <c r="GH896" s="55"/>
      <c r="KD896" s="15"/>
      <c r="KE896" s="51"/>
      <c r="KH896" s="15"/>
      <c r="KI896" s="15"/>
    </row>
    <row r="897" spans="3:295">
      <c r="C897" s="1"/>
      <c r="AE897" s="51"/>
      <c r="AO897" s="49"/>
      <c r="AQ897" s="36"/>
      <c r="AR897" s="36"/>
      <c r="AS897" s="36"/>
      <c r="AT897" s="36"/>
      <c r="AU897" s="36"/>
      <c r="AV897" s="36"/>
      <c r="AW897" s="36"/>
      <c r="AX897" s="36"/>
      <c r="AY897" s="36"/>
      <c r="AZ897" s="36"/>
      <c r="BA897" s="36"/>
      <c r="GH897" s="55"/>
      <c r="KD897" s="15"/>
      <c r="KE897" s="51"/>
      <c r="KH897" s="15"/>
      <c r="KI897" s="15"/>
    </row>
    <row r="898" spans="3:295">
      <c r="C898" s="1"/>
      <c r="AE898" s="51"/>
      <c r="AO898" s="49"/>
      <c r="AQ898" s="36"/>
      <c r="AR898" s="36"/>
      <c r="AS898" s="36"/>
      <c r="AT898" s="36"/>
      <c r="AU898" s="36"/>
      <c r="AV898" s="36"/>
      <c r="AW898" s="36"/>
      <c r="AX898" s="36"/>
      <c r="AY898" s="36"/>
      <c r="AZ898" s="36"/>
      <c r="BA898" s="36"/>
      <c r="GH898" s="55"/>
      <c r="KD898" s="15"/>
      <c r="KE898" s="51"/>
      <c r="KH898" s="15"/>
      <c r="KI898" s="15"/>
    </row>
    <row r="899" spans="3:295">
      <c r="C899" s="1"/>
      <c r="AE899" s="51"/>
      <c r="AO899" s="49"/>
      <c r="AQ899" s="36"/>
      <c r="AR899" s="36"/>
      <c r="AS899" s="36"/>
      <c r="AT899" s="36"/>
      <c r="AU899" s="36"/>
      <c r="AV899" s="36"/>
      <c r="AW899" s="36"/>
      <c r="AX899" s="36"/>
      <c r="AY899" s="36"/>
      <c r="AZ899" s="36"/>
      <c r="BA899" s="36"/>
      <c r="GH899" s="55"/>
      <c r="KD899" s="15"/>
      <c r="KE899" s="51"/>
      <c r="KH899" s="15"/>
      <c r="KI899" s="15"/>
    </row>
    <row r="900" spans="3:295">
      <c r="C900" s="1"/>
      <c r="AE900" s="51"/>
      <c r="AO900" s="49"/>
      <c r="AQ900" s="36"/>
      <c r="AR900" s="36"/>
      <c r="AS900" s="36"/>
      <c r="AT900" s="36"/>
      <c r="AU900" s="36"/>
      <c r="AV900" s="36"/>
      <c r="AW900" s="36"/>
      <c r="AX900" s="36"/>
      <c r="AY900" s="36"/>
      <c r="AZ900" s="36"/>
      <c r="BA900" s="36"/>
      <c r="GH900" s="55"/>
      <c r="KD900" s="15"/>
      <c r="KE900" s="51"/>
      <c r="KH900" s="15"/>
      <c r="KI900" s="15"/>
    </row>
    <row r="901" spans="3:295">
      <c r="C901" s="1"/>
      <c r="AE901" s="51"/>
      <c r="AO901" s="49"/>
      <c r="AQ901" s="36"/>
      <c r="AR901" s="36"/>
      <c r="AS901" s="36"/>
      <c r="AT901" s="36"/>
      <c r="AU901" s="36"/>
      <c r="AV901" s="36"/>
      <c r="AW901" s="36"/>
      <c r="AX901" s="36"/>
      <c r="AY901" s="36"/>
      <c r="AZ901" s="36"/>
      <c r="BA901" s="36"/>
      <c r="GH901" s="55"/>
      <c r="KD901" s="15"/>
      <c r="KE901" s="51"/>
      <c r="KH901" s="15"/>
      <c r="KI901" s="15"/>
    </row>
    <row r="902" spans="3:295">
      <c r="C902" s="1"/>
      <c r="AE902" s="51"/>
      <c r="AO902" s="49"/>
      <c r="AQ902" s="36"/>
      <c r="AR902" s="36"/>
      <c r="AS902" s="36"/>
      <c r="AT902" s="36"/>
      <c r="AU902" s="36"/>
      <c r="AV902" s="36"/>
      <c r="AW902" s="36"/>
      <c r="AX902" s="36"/>
      <c r="AY902" s="36"/>
      <c r="AZ902" s="36"/>
      <c r="BA902" s="36"/>
      <c r="GH902" s="55"/>
      <c r="KD902" s="15"/>
      <c r="KE902" s="51"/>
      <c r="KH902" s="15"/>
      <c r="KI902" s="15"/>
    </row>
    <row r="903" spans="3:295">
      <c r="C903" s="1"/>
      <c r="AE903" s="51"/>
      <c r="AO903" s="49"/>
      <c r="AQ903" s="36"/>
      <c r="AR903" s="36"/>
      <c r="AS903" s="36"/>
      <c r="AT903" s="36"/>
      <c r="AU903" s="36"/>
      <c r="AV903" s="36"/>
      <c r="AW903" s="36"/>
      <c r="AX903" s="36"/>
      <c r="AY903" s="36"/>
      <c r="AZ903" s="36"/>
      <c r="BA903" s="36"/>
      <c r="GH903" s="55"/>
      <c r="KD903" s="15"/>
      <c r="KE903" s="51"/>
      <c r="KH903" s="15"/>
      <c r="KI903" s="15"/>
    </row>
    <row r="904" spans="3:295">
      <c r="C904" s="1"/>
      <c r="AE904" s="51"/>
      <c r="AO904" s="49"/>
      <c r="AQ904" s="36"/>
      <c r="AR904" s="36"/>
      <c r="AS904" s="36"/>
      <c r="AT904" s="36"/>
      <c r="AU904" s="36"/>
      <c r="AV904" s="36"/>
      <c r="AW904" s="36"/>
      <c r="AX904" s="36"/>
      <c r="AY904" s="36"/>
      <c r="AZ904" s="36"/>
      <c r="BA904" s="36"/>
      <c r="GH904" s="55"/>
      <c r="KD904" s="15"/>
      <c r="KE904" s="51"/>
      <c r="KH904" s="15"/>
      <c r="KI904" s="15"/>
    </row>
    <row r="905" spans="3:295">
      <c r="C905" s="1"/>
      <c r="AE905" s="51"/>
      <c r="AO905" s="49"/>
      <c r="AQ905" s="36"/>
      <c r="AR905" s="36"/>
      <c r="AS905" s="36"/>
      <c r="AT905" s="36"/>
      <c r="AU905" s="36"/>
      <c r="AV905" s="36"/>
      <c r="AW905" s="36"/>
      <c r="AX905" s="36"/>
      <c r="AY905" s="36"/>
      <c r="AZ905" s="36"/>
      <c r="BA905" s="36"/>
      <c r="GH905" s="55"/>
      <c r="KD905" s="15"/>
      <c r="KE905" s="51"/>
      <c r="KH905" s="15"/>
      <c r="KI905" s="15"/>
    </row>
    <row r="906" spans="3:295">
      <c r="C906" s="1"/>
      <c r="AE906" s="51"/>
      <c r="AO906" s="49"/>
      <c r="AQ906" s="36"/>
      <c r="AR906" s="36"/>
      <c r="AS906" s="36"/>
      <c r="AT906" s="36"/>
      <c r="AU906" s="36"/>
      <c r="AV906" s="36"/>
      <c r="AW906" s="36"/>
      <c r="AX906" s="36"/>
      <c r="AY906" s="36"/>
      <c r="AZ906" s="36"/>
      <c r="BA906" s="36"/>
      <c r="GH906" s="55"/>
      <c r="KD906" s="15"/>
      <c r="KE906" s="51"/>
      <c r="KH906" s="15"/>
      <c r="KI906" s="15"/>
    </row>
    <row r="907" spans="3:295">
      <c r="C907" s="1"/>
      <c r="AE907" s="51"/>
      <c r="AO907" s="49"/>
      <c r="AQ907" s="36"/>
      <c r="AR907" s="36"/>
      <c r="AS907" s="36"/>
      <c r="AT907" s="36"/>
      <c r="AU907" s="36"/>
      <c r="AV907" s="36"/>
      <c r="AW907" s="36"/>
      <c r="AX907" s="36"/>
      <c r="AY907" s="36"/>
      <c r="AZ907" s="36"/>
      <c r="BA907" s="36"/>
      <c r="GH907" s="55"/>
      <c r="KD907" s="15"/>
      <c r="KE907" s="51"/>
      <c r="KH907" s="15"/>
      <c r="KI907" s="15"/>
    </row>
    <row r="908" spans="3:295">
      <c r="C908" s="1"/>
      <c r="AE908" s="51"/>
      <c r="AO908" s="49"/>
      <c r="AQ908" s="36"/>
      <c r="AR908" s="36"/>
      <c r="AS908" s="36"/>
      <c r="AT908" s="36"/>
      <c r="AU908" s="36"/>
      <c r="AV908" s="36"/>
      <c r="AW908" s="36"/>
      <c r="AX908" s="36"/>
      <c r="AY908" s="36"/>
      <c r="AZ908" s="36"/>
      <c r="BA908" s="36"/>
      <c r="GH908" s="55"/>
      <c r="KD908" s="15"/>
      <c r="KE908" s="51"/>
      <c r="KH908" s="15"/>
      <c r="KI908" s="15"/>
    </row>
    <row r="909" spans="3:295">
      <c r="C909" s="1"/>
      <c r="AE909" s="51"/>
      <c r="AO909" s="49"/>
      <c r="AQ909" s="36"/>
      <c r="AR909" s="36"/>
      <c r="AS909" s="36"/>
      <c r="AT909" s="36"/>
      <c r="AU909" s="36"/>
      <c r="AV909" s="36"/>
      <c r="AW909" s="36"/>
      <c r="AX909" s="36"/>
      <c r="AY909" s="36"/>
      <c r="AZ909" s="36"/>
      <c r="BA909" s="36"/>
      <c r="GH909" s="55"/>
      <c r="KD909" s="15"/>
      <c r="KE909" s="51"/>
      <c r="KH909" s="15"/>
      <c r="KI909" s="15"/>
    </row>
    <row r="910" spans="3:295">
      <c r="C910" s="1"/>
      <c r="AE910" s="51"/>
      <c r="AO910" s="49"/>
      <c r="AQ910" s="36"/>
      <c r="AR910" s="36"/>
      <c r="AS910" s="36"/>
      <c r="AT910" s="36"/>
      <c r="AU910" s="36"/>
      <c r="AV910" s="36"/>
      <c r="AW910" s="36"/>
      <c r="AX910" s="36"/>
      <c r="AY910" s="36"/>
      <c r="AZ910" s="36"/>
      <c r="BA910" s="36"/>
      <c r="GH910" s="55"/>
      <c r="KD910" s="15"/>
      <c r="KE910" s="51"/>
      <c r="KH910" s="15"/>
      <c r="KI910" s="15"/>
    </row>
    <row r="911" spans="3:295">
      <c r="C911" s="1"/>
      <c r="AE911" s="51"/>
      <c r="AO911" s="49"/>
      <c r="AQ911" s="36"/>
      <c r="AR911" s="36"/>
      <c r="AS911" s="36"/>
      <c r="AT911" s="36"/>
      <c r="AU911" s="36"/>
      <c r="AV911" s="36"/>
      <c r="AW911" s="36"/>
      <c r="AX911" s="36"/>
      <c r="AY911" s="36"/>
      <c r="AZ911" s="36"/>
      <c r="BA911" s="36"/>
      <c r="GH911" s="55"/>
      <c r="KD911" s="15"/>
      <c r="KE911" s="51"/>
      <c r="KH911" s="15"/>
      <c r="KI911" s="15"/>
    </row>
    <row r="912" spans="3:295">
      <c r="C912" s="1"/>
      <c r="AE912" s="51"/>
      <c r="AO912" s="49"/>
      <c r="AQ912" s="36"/>
      <c r="AR912" s="36"/>
      <c r="AS912" s="36"/>
      <c r="AT912" s="36"/>
      <c r="AU912" s="36"/>
      <c r="AV912" s="36"/>
      <c r="AW912" s="36"/>
      <c r="AX912" s="36"/>
      <c r="AY912" s="36"/>
      <c r="AZ912" s="36"/>
      <c r="BA912" s="36"/>
      <c r="GH912" s="55"/>
      <c r="KD912" s="15"/>
      <c r="KE912" s="51"/>
      <c r="KH912" s="15"/>
      <c r="KI912" s="15"/>
    </row>
    <row r="913" spans="3:295">
      <c r="C913" s="1"/>
      <c r="AE913" s="51"/>
      <c r="AO913" s="49"/>
      <c r="AQ913" s="36"/>
      <c r="AR913" s="36"/>
      <c r="AS913" s="36"/>
      <c r="AT913" s="36"/>
      <c r="AU913" s="36"/>
      <c r="AV913" s="36"/>
      <c r="AW913" s="36"/>
      <c r="AX913" s="36"/>
      <c r="AY913" s="36"/>
      <c r="AZ913" s="36"/>
      <c r="BA913" s="36"/>
      <c r="GH913" s="55"/>
      <c r="KD913" s="15"/>
      <c r="KE913" s="51"/>
      <c r="KH913" s="15"/>
      <c r="KI913" s="15"/>
    </row>
    <row r="914" spans="3:295">
      <c r="C914" s="1"/>
      <c r="AE914" s="51"/>
      <c r="AO914" s="49"/>
      <c r="AQ914" s="36"/>
      <c r="AR914" s="36"/>
      <c r="AS914" s="36"/>
      <c r="AT914" s="36"/>
      <c r="AU914" s="36"/>
      <c r="AV914" s="36"/>
      <c r="AW914" s="36"/>
      <c r="AX914" s="36"/>
      <c r="AY914" s="36"/>
      <c r="AZ914" s="36"/>
      <c r="BA914" s="36"/>
      <c r="GH914" s="55"/>
      <c r="KD914" s="15"/>
      <c r="KE914" s="51"/>
      <c r="KH914" s="15"/>
      <c r="KI914" s="15"/>
    </row>
    <row r="915" spans="3:295">
      <c r="C915" s="1"/>
      <c r="AE915" s="51"/>
      <c r="AO915" s="49"/>
      <c r="AQ915" s="36"/>
      <c r="AR915" s="36"/>
      <c r="AS915" s="36"/>
      <c r="AT915" s="36"/>
      <c r="AU915" s="36"/>
      <c r="AV915" s="36"/>
      <c r="AW915" s="36"/>
      <c r="AX915" s="36"/>
      <c r="AY915" s="36"/>
      <c r="AZ915" s="36"/>
      <c r="BA915" s="36"/>
      <c r="GH915" s="55"/>
      <c r="KD915" s="15"/>
      <c r="KE915" s="51"/>
      <c r="KH915" s="15"/>
      <c r="KI915" s="15"/>
    </row>
    <row r="916" spans="3:295">
      <c r="C916" s="1"/>
      <c r="AE916" s="51"/>
      <c r="AO916" s="49"/>
      <c r="AQ916" s="36"/>
      <c r="AR916" s="36"/>
      <c r="AS916" s="36"/>
      <c r="AT916" s="36"/>
      <c r="AU916" s="36"/>
      <c r="AV916" s="36"/>
      <c r="AW916" s="36"/>
      <c r="AX916" s="36"/>
      <c r="AY916" s="36"/>
      <c r="AZ916" s="36"/>
      <c r="BA916" s="36"/>
      <c r="GH916" s="55"/>
      <c r="KD916" s="15"/>
      <c r="KE916" s="51"/>
      <c r="KH916" s="15"/>
      <c r="KI916" s="15"/>
    </row>
    <row r="917" spans="3:295">
      <c r="C917" s="1"/>
      <c r="AE917" s="51"/>
      <c r="AO917" s="49"/>
      <c r="AQ917" s="36"/>
      <c r="AR917" s="36"/>
      <c r="AS917" s="36"/>
      <c r="AT917" s="36"/>
      <c r="AU917" s="36"/>
      <c r="AV917" s="36"/>
      <c r="AW917" s="36"/>
      <c r="AX917" s="36"/>
      <c r="AY917" s="36"/>
      <c r="AZ917" s="36"/>
      <c r="BA917" s="36"/>
      <c r="GH917" s="55"/>
      <c r="KD917" s="15"/>
      <c r="KE917" s="51"/>
      <c r="KH917" s="15"/>
      <c r="KI917" s="15"/>
    </row>
    <row r="918" spans="3:295">
      <c r="C918" s="1"/>
      <c r="AE918" s="51"/>
      <c r="AO918" s="49"/>
      <c r="AQ918" s="36"/>
      <c r="AR918" s="36"/>
      <c r="AS918" s="36"/>
      <c r="AT918" s="36"/>
      <c r="AU918" s="36"/>
      <c r="AV918" s="36"/>
      <c r="AW918" s="36"/>
      <c r="AX918" s="36"/>
      <c r="AY918" s="36"/>
      <c r="AZ918" s="36"/>
      <c r="BA918" s="36"/>
      <c r="GH918" s="55"/>
      <c r="KD918" s="15"/>
      <c r="KE918" s="51"/>
      <c r="KH918" s="15"/>
      <c r="KI918" s="15"/>
    </row>
    <row r="919" spans="3:295">
      <c r="C919" s="1"/>
      <c r="AE919" s="51"/>
      <c r="AO919" s="49"/>
      <c r="AQ919" s="36"/>
      <c r="AR919" s="36"/>
      <c r="AS919" s="36"/>
      <c r="AT919" s="36"/>
      <c r="AU919" s="36"/>
      <c r="AV919" s="36"/>
      <c r="AW919" s="36"/>
      <c r="AX919" s="36"/>
      <c r="AY919" s="36"/>
      <c r="AZ919" s="36"/>
      <c r="BA919" s="36"/>
      <c r="GH919" s="55"/>
      <c r="KD919" s="15"/>
      <c r="KE919" s="51"/>
      <c r="KH919" s="15"/>
      <c r="KI919" s="15"/>
    </row>
    <row r="920" spans="3:295">
      <c r="C920" s="1"/>
      <c r="AE920" s="51"/>
      <c r="AO920" s="49"/>
      <c r="AQ920" s="36"/>
      <c r="AR920" s="36"/>
      <c r="AS920" s="36"/>
      <c r="AT920" s="36"/>
      <c r="AU920" s="36"/>
      <c r="AV920" s="36"/>
      <c r="AW920" s="36"/>
      <c r="AX920" s="36"/>
      <c r="AY920" s="36"/>
      <c r="AZ920" s="36"/>
      <c r="BA920" s="36"/>
      <c r="GH920" s="55"/>
      <c r="KD920" s="15"/>
      <c r="KE920" s="51"/>
      <c r="KH920" s="15"/>
      <c r="KI920" s="15"/>
    </row>
    <row r="921" spans="3:295">
      <c r="C921" s="1"/>
      <c r="AE921" s="51"/>
      <c r="AO921" s="49"/>
      <c r="AQ921" s="36"/>
      <c r="AR921" s="36"/>
      <c r="AS921" s="36"/>
      <c r="AT921" s="36"/>
      <c r="AU921" s="36"/>
      <c r="AV921" s="36"/>
      <c r="AW921" s="36"/>
      <c r="AX921" s="36"/>
      <c r="AY921" s="36"/>
      <c r="AZ921" s="36"/>
      <c r="BA921" s="36"/>
      <c r="GH921" s="55"/>
      <c r="KD921" s="15"/>
      <c r="KE921" s="51"/>
      <c r="KH921" s="15"/>
      <c r="KI921" s="15"/>
    </row>
    <row r="922" spans="3:295">
      <c r="C922" s="1"/>
      <c r="AE922" s="51"/>
      <c r="AO922" s="49"/>
      <c r="AQ922" s="36"/>
      <c r="AR922" s="36"/>
      <c r="AS922" s="36"/>
      <c r="AT922" s="36"/>
      <c r="AU922" s="36"/>
      <c r="AV922" s="36"/>
      <c r="AW922" s="36"/>
      <c r="AX922" s="36"/>
      <c r="AY922" s="36"/>
      <c r="AZ922" s="36"/>
      <c r="BA922" s="36"/>
      <c r="GH922" s="55"/>
      <c r="KD922" s="15"/>
      <c r="KE922" s="51"/>
      <c r="KH922" s="15"/>
      <c r="KI922" s="15"/>
    </row>
    <row r="923" spans="3:295">
      <c r="C923" s="1"/>
      <c r="AE923" s="51"/>
      <c r="AO923" s="49"/>
      <c r="AQ923" s="36"/>
      <c r="AR923" s="36"/>
      <c r="AS923" s="36"/>
      <c r="AT923" s="36"/>
      <c r="AU923" s="36"/>
      <c r="AV923" s="36"/>
      <c r="AW923" s="36"/>
      <c r="AX923" s="36"/>
      <c r="AY923" s="36"/>
      <c r="AZ923" s="36"/>
      <c r="BA923" s="36"/>
      <c r="GH923" s="55"/>
      <c r="KD923" s="15"/>
      <c r="KE923" s="51"/>
      <c r="KH923" s="15"/>
      <c r="KI923" s="15"/>
    </row>
    <row r="924" spans="3:295">
      <c r="C924" s="1"/>
      <c r="AE924" s="51"/>
      <c r="AO924" s="49"/>
      <c r="AQ924" s="36"/>
      <c r="AR924" s="36"/>
      <c r="AS924" s="36"/>
      <c r="AT924" s="36"/>
      <c r="AU924" s="36"/>
      <c r="AV924" s="36"/>
      <c r="AW924" s="36"/>
      <c r="AX924" s="36"/>
      <c r="AY924" s="36"/>
      <c r="AZ924" s="36"/>
      <c r="BA924" s="36"/>
      <c r="GH924" s="55"/>
      <c r="KD924" s="15"/>
      <c r="KE924" s="51"/>
      <c r="KH924" s="15"/>
      <c r="KI924" s="15"/>
    </row>
    <row r="925" spans="3:295">
      <c r="C925" s="1"/>
      <c r="AE925" s="51"/>
      <c r="AO925" s="49"/>
      <c r="AQ925" s="36"/>
      <c r="AR925" s="36"/>
      <c r="AS925" s="36"/>
      <c r="AT925" s="36"/>
      <c r="AU925" s="36"/>
      <c r="AV925" s="36"/>
      <c r="AW925" s="36"/>
      <c r="AX925" s="36"/>
      <c r="AY925" s="36"/>
      <c r="AZ925" s="36"/>
      <c r="BA925" s="36"/>
      <c r="GH925" s="55"/>
      <c r="KD925" s="15"/>
      <c r="KE925" s="51"/>
      <c r="KH925" s="15"/>
      <c r="KI925" s="15"/>
    </row>
    <row r="926" spans="3:295">
      <c r="C926" s="1"/>
      <c r="AE926" s="51"/>
      <c r="AO926" s="49"/>
      <c r="AQ926" s="36"/>
      <c r="AR926" s="36"/>
      <c r="AS926" s="36"/>
      <c r="AT926" s="36"/>
      <c r="AU926" s="36"/>
      <c r="AV926" s="36"/>
      <c r="AW926" s="36"/>
      <c r="AX926" s="36"/>
      <c r="AY926" s="36"/>
      <c r="AZ926" s="36"/>
      <c r="BA926" s="36"/>
      <c r="GH926" s="55"/>
      <c r="KD926" s="15"/>
      <c r="KE926" s="51"/>
      <c r="KH926" s="15"/>
      <c r="KI926" s="15"/>
    </row>
    <row r="927" spans="3:295">
      <c r="C927" s="1"/>
      <c r="AE927" s="51"/>
      <c r="AO927" s="49"/>
      <c r="AQ927" s="36"/>
      <c r="AR927" s="36"/>
      <c r="AS927" s="36"/>
      <c r="AT927" s="36"/>
      <c r="AU927" s="36"/>
      <c r="AV927" s="36"/>
      <c r="AW927" s="36"/>
      <c r="AX927" s="36"/>
      <c r="AY927" s="36"/>
      <c r="AZ927" s="36"/>
      <c r="BA927" s="36"/>
      <c r="GH927" s="55"/>
      <c r="KD927" s="15"/>
      <c r="KE927" s="51"/>
      <c r="KH927" s="15"/>
      <c r="KI927" s="15"/>
    </row>
    <row r="928" spans="3:295">
      <c r="C928" s="1"/>
      <c r="AE928" s="51"/>
      <c r="AO928" s="49"/>
      <c r="AQ928" s="36"/>
      <c r="AR928" s="36"/>
      <c r="AS928" s="36"/>
      <c r="AT928" s="36"/>
      <c r="AU928" s="36"/>
      <c r="AV928" s="36"/>
      <c r="AW928" s="36"/>
      <c r="AX928" s="36"/>
      <c r="AY928" s="36"/>
      <c r="AZ928" s="36"/>
      <c r="BA928" s="36"/>
      <c r="GH928" s="55"/>
      <c r="KD928" s="15"/>
      <c r="KE928" s="51"/>
      <c r="KH928" s="15"/>
      <c r="KI928" s="15"/>
    </row>
    <row r="929" spans="3:295">
      <c r="C929" s="1"/>
      <c r="AE929" s="51"/>
      <c r="AO929" s="49"/>
      <c r="AQ929" s="36"/>
      <c r="AR929" s="36"/>
      <c r="AS929" s="36"/>
      <c r="AT929" s="36"/>
      <c r="AU929" s="36"/>
      <c r="AV929" s="36"/>
      <c r="AW929" s="36"/>
      <c r="AX929" s="36"/>
      <c r="AY929" s="36"/>
      <c r="AZ929" s="36"/>
      <c r="BA929" s="36"/>
      <c r="GH929" s="55"/>
      <c r="KD929" s="15"/>
      <c r="KE929" s="51"/>
      <c r="KH929" s="15"/>
      <c r="KI929" s="15"/>
    </row>
    <row r="930" spans="3:295">
      <c r="C930" s="1"/>
      <c r="AE930" s="51"/>
      <c r="AO930" s="49"/>
      <c r="AQ930" s="36"/>
      <c r="AR930" s="36"/>
      <c r="AS930" s="36"/>
      <c r="AT930" s="36"/>
      <c r="AU930" s="36"/>
      <c r="AV930" s="36"/>
      <c r="AW930" s="36"/>
      <c r="AX930" s="36"/>
      <c r="AY930" s="36"/>
      <c r="AZ930" s="36"/>
      <c r="BA930" s="36"/>
      <c r="GH930" s="55"/>
      <c r="KD930" s="15"/>
      <c r="KE930" s="51"/>
      <c r="KH930" s="15"/>
      <c r="KI930" s="15"/>
    </row>
    <row r="931" spans="3:295">
      <c r="C931" s="1"/>
      <c r="AE931" s="51"/>
      <c r="AO931" s="49"/>
      <c r="AQ931" s="36"/>
      <c r="AR931" s="36"/>
      <c r="AS931" s="36"/>
      <c r="AT931" s="36"/>
      <c r="AU931" s="36"/>
      <c r="AV931" s="36"/>
      <c r="AW931" s="36"/>
      <c r="AX931" s="36"/>
      <c r="AY931" s="36"/>
      <c r="AZ931" s="36"/>
      <c r="BA931" s="36"/>
      <c r="GH931" s="55"/>
      <c r="KD931" s="15"/>
      <c r="KE931" s="51"/>
      <c r="KH931" s="15"/>
      <c r="KI931" s="15"/>
    </row>
    <row r="932" spans="3:295">
      <c r="C932" s="1"/>
      <c r="AE932" s="51"/>
      <c r="AO932" s="49"/>
      <c r="AQ932" s="36"/>
      <c r="AR932" s="36"/>
      <c r="AS932" s="36"/>
      <c r="AT932" s="36"/>
      <c r="AU932" s="36"/>
      <c r="AV932" s="36"/>
      <c r="AW932" s="36"/>
      <c r="AX932" s="36"/>
      <c r="AY932" s="36"/>
      <c r="AZ932" s="36"/>
      <c r="BA932" s="36"/>
      <c r="GH932" s="55"/>
      <c r="KD932" s="15"/>
      <c r="KE932" s="51"/>
      <c r="KH932" s="15"/>
      <c r="KI932" s="15"/>
    </row>
    <row r="933" spans="3:295">
      <c r="C933" s="1"/>
      <c r="AE933" s="51"/>
      <c r="AO933" s="49"/>
      <c r="AQ933" s="36"/>
      <c r="AR933" s="36"/>
      <c r="AS933" s="36"/>
      <c r="AT933" s="36"/>
      <c r="AU933" s="36"/>
      <c r="AV933" s="36"/>
      <c r="AW933" s="36"/>
      <c r="AX933" s="36"/>
      <c r="AY933" s="36"/>
      <c r="AZ933" s="36"/>
      <c r="BA933" s="36"/>
      <c r="GH933" s="55"/>
      <c r="KD933" s="15"/>
      <c r="KE933" s="51"/>
      <c r="KH933" s="15"/>
      <c r="KI933" s="15"/>
    </row>
    <row r="934" spans="3:295">
      <c r="C934" s="1"/>
      <c r="AE934" s="51"/>
      <c r="AO934" s="49"/>
      <c r="AQ934" s="36"/>
      <c r="AR934" s="36"/>
      <c r="AS934" s="36"/>
      <c r="AT934" s="36"/>
      <c r="AU934" s="36"/>
      <c r="AV934" s="36"/>
      <c r="AW934" s="36"/>
      <c r="AX934" s="36"/>
      <c r="AY934" s="36"/>
      <c r="AZ934" s="36"/>
      <c r="BA934" s="36"/>
      <c r="GH934" s="55"/>
      <c r="KD934" s="15"/>
      <c r="KE934" s="51"/>
      <c r="KH934" s="15"/>
      <c r="KI934" s="15"/>
    </row>
    <row r="935" spans="3:295">
      <c r="C935" s="1"/>
      <c r="AE935" s="51"/>
      <c r="AO935" s="49"/>
      <c r="AQ935" s="36"/>
      <c r="AR935" s="36"/>
      <c r="AS935" s="36"/>
      <c r="AT935" s="36"/>
      <c r="AU935" s="36"/>
      <c r="AV935" s="36"/>
      <c r="AW935" s="36"/>
      <c r="AX935" s="36"/>
      <c r="AY935" s="36"/>
      <c r="AZ935" s="36"/>
      <c r="BA935" s="36"/>
      <c r="GH935" s="55"/>
      <c r="KD935" s="15"/>
      <c r="KE935" s="51"/>
      <c r="KH935" s="15"/>
      <c r="KI935" s="15"/>
    </row>
    <row r="936" spans="3:295">
      <c r="C936" s="1"/>
      <c r="AE936" s="51"/>
      <c r="AO936" s="49"/>
      <c r="AQ936" s="36"/>
      <c r="AR936" s="36"/>
      <c r="AS936" s="36"/>
      <c r="AT936" s="36"/>
      <c r="AU936" s="36"/>
      <c r="AV936" s="36"/>
      <c r="AW936" s="36"/>
      <c r="AX936" s="36"/>
      <c r="AY936" s="36"/>
      <c r="AZ936" s="36"/>
      <c r="BA936" s="36"/>
      <c r="GH936" s="55"/>
      <c r="KD936" s="15"/>
      <c r="KE936" s="51"/>
      <c r="KH936" s="15"/>
      <c r="KI936" s="15"/>
    </row>
    <row r="937" spans="3:295">
      <c r="C937" s="1"/>
      <c r="AE937" s="51"/>
      <c r="AO937" s="49"/>
      <c r="AQ937" s="36"/>
      <c r="AR937" s="36"/>
      <c r="AS937" s="36"/>
      <c r="AT937" s="36"/>
      <c r="AU937" s="36"/>
      <c r="AV937" s="36"/>
      <c r="AW937" s="36"/>
      <c r="AX937" s="36"/>
      <c r="AY937" s="36"/>
      <c r="AZ937" s="36"/>
      <c r="BA937" s="36"/>
      <c r="GH937" s="55"/>
      <c r="KD937" s="15"/>
      <c r="KE937" s="51"/>
      <c r="KH937" s="15"/>
      <c r="KI937" s="15"/>
    </row>
    <row r="938" spans="3:295">
      <c r="C938" s="1"/>
      <c r="AE938" s="51"/>
      <c r="AO938" s="49"/>
      <c r="AQ938" s="36"/>
      <c r="AR938" s="36"/>
      <c r="AS938" s="36"/>
      <c r="AT938" s="36"/>
      <c r="AU938" s="36"/>
      <c r="AV938" s="36"/>
      <c r="AW938" s="36"/>
      <c r="AX938" s="36"/>
      <c r="AY938" s="36"/>
      <c r="AZ938" s="36"/>
      <c r="BA938" s="36"/>
      <c r="GH938" s="55"/>
      <c r="KD938" s="15"/>
      <c r="KE938" s="51"/>
      <c r="KH938" s="15"/>
      <c r="KI938" s="15"/>
    </row>
    <row r="939" spans="3:295">
      <c r="C939" s="1"/>
      <c r="AE939" s="51"/>
      <c r="AO939" s="49"/>
      <c r="AQ939" s="36"/>
      <c r="AR939" s="36"/>
      <c r="AS939" s="36"/>
      <c r="AT939" s="36"/>
      <c r="AU939" s="36"/>
      <c r="AV939" s="36"/>
      <c r="AW939" s="36"/>
      <c r="AX939" s="36"/>
      <c r="AY939" s="36"/>
      <c r="AZ939" s="36"/>
      <c r="BA939" s="36"/>
      <c r="GH939" s="55"/>
      <c r="KD939" s="15"/>
      <c r="KE939" s="51"/>
      <c r="KH939" s="15"/>
      <c r="KI939" s="15"/>
    </row>
    <row r="940" spans="3:295">
      <c r="C940" s="1"/>
      <c r="AE940" s="51"/>
      <c r="AO940" s="49"/>
      <c r="AQ940" s="36"/>
      <c r="AR940" s="36"/>
      <c r="AS940" s="36"/>
      <c r="AT940" s="36"/>
      <c r="AU940" s="36"/>
      <c r="AV940" s="36"/>
      <c r="AW940" s="36"/>
      <c r="AX940" s="36"/>
      <c r="AY940" s="36"/>
      <c r="AZ940" s="36"/>
      <c r="BA940" s="36"/>
      <c r="GH940" s="55"/>
      <c r="KD940" s="15"/>
      <c r="KE940" s="51"/>
      <c r="KH940" s="15"/>
      <c r="KI940" s="15"/>
    </row>
    <row r="941" spans="3:295">
      <c r="C941" s="1"/>
      <c r="AE941" s="51"/>
      <c r="AO941" s="49"/>
      <c r="AQ941" s="36"/>
      <c r="AR941" s="36"/>
      <c r="AS941" s="36"/>
      <c r="AT941" s="36"/>
      <c r="AU941" s="36"/>
      <c r="AV941" s="36"/>
      <c r="AW941" s="36"/>
      <c r="AX941" s="36"/>
      <c r="AY941" s="36"/>
      <c r="AZ941" s="36"/>
      <c r="BA941" s="36"/>
      <c r="GH941" s="55"/>
      <c r="KD941" s="15"/>
      <c r="KE941" s="51"/>
      <c r="KH941" s="15"/>
      <c r="KI941" s="15"/>
    </row>
    <row r="942" spans="3:295">
      <c r="C942" s="1"/>
      <c r="AE942" s="51"/>
      <c r="AO942" s="49"/>
      <c r="AQ942" s="36"/>
      <c r="AR942" s="36"/>
      <c r="AS942" s="36"/>
      <c r="AT942" s="36"/>
      <c r="AU942" s="36"/>
      <c r="AV942" s="36"/>
      <c r="AW942" s="36"/>
      <c r="AX942" s="36"/>
      <c r="AY942" s="36"/>
      <c r="AZ942" s="36"/>
      <c r="BA942" s="36"/>
      <c r="GH942" s="55"/>
      <c r="KD942" s="15"/>
      <c r="KE942" s="51"/>
      <c r="KH942" s="15"/>
      <c r="KI942" s="15"/>
    </row>
    <row r="943" spans="3:295">
      <c r="C943" s="1"/>
      <c r="AE943" s="51"/>
      <c r="AO943" s="49"/>
      <c r="AQ943" s="36"/>
      <c r="AR943" s="36"/>
      <c r="AS943" s="36"/>
      <c r="AT943" s="36"/>
      <c r="AU943" s="36"/>
      <c r="AV943" s="36"/>
      <c r="AW943" s="36"/>
      <c r="AX943" s="36"/>
      <c r="AY943" s="36"/>
      <c r="AZ943" s="36"/>
      <c r="BA943" s="36"/>
      <c r="GH943" s="55"/>
      <c r="KD943" s="15"/>
      <c r="KE943" s="51"/>
      <c r="KH943" s="15"/>
      <c r="KI943" s="15"/>
    </row>
    <row r="944" spans="3:295">
      <c r="C944" s="1"/>
      <c r="AE944" s="51"/>
      <c r="AO944" s="49"/>
      <c r="AQ944" s="36"/>
      <c r="AR944" s="36"/>
      <c r="AS944" s="36"/>
      <c r="AT944" s="36"/>
      <c r="AU944" s="36"/>
      <c r="AV944" s="36"/>
      <c r="AW944" s="36"/>
      <c r="AX944" s="36"/>
      <c r="AY944" s="36"/>
      <c r="AZ944" s="36"/>
      <c r="BA944" s="36"/>
      <c r="GH944" s="55"/>
      <c r="KD944" s="15"/>
      <c r="KE944" s="51"/>
      <c r="KH944" s="15"/>
      <c r="KI944" s="15"/>
    </row>
    <row r="945" spans="3:295">
      <c r="C945" s="1"/>
      <c r="AE945" s="51"/>
      <c r="AO945" s="49"/>
      <c r="AQ945" s="36"/>
      <c r="AR945" s="36"/>
      <c r="AS945" s="36"/>
      <c r="AT945" s="36"/>
      <c r="AU945" s="36"/>
      <c r="AV945" s="36"/>
      <c r="AW945" s="36"/>
      <c r="AX945" s="36"/>
      <c r="AY945" s="36"/>
      <c r="AZ945" s="36"/>
      <c r="BA945" s="36"/>
      <c r="GH945" s="55"/>
      <c r="KD945" s="15"/>
      <c r="KE945" s="51"/>
      <c r="KH945" s="15"/>
      <c r="KI945" s="15"/>
    </row>
    <row r="946" spans="3:295">
      <c r="C946" s="1"/>
      <c r="AE946" s="51"/>
      <c r="AO946" s="49"/>
      <c r="AQ946" s="36"/>
      <c r="AR946" s="36"/>
      <c r="AS946" s="36"/>
      <c r="AT946" s="36"/>
      <c r="AU946" s="36"/>
      <c r="AV946" s="36"/>
      <c r="AW946" s="36"/>
      <c r="AX946" s="36"/>
      <c r="AY946" s="36"/>
      <c r="AZ946" s="36"/>
      <c r="BA946" s="36"/>
      <c r="GH946" s="55"/>
      <c r="KD946" s="15"/>
      <c r="KE946" s="51"/>
      <c r="KH946" s="15"/>
      <c r="KI946" s="15"/>
    </row>
    <row r="947" spans="3:295">
      <c r="C947" s="1"/>
      <c r="AE947" s="51"/>
      <c r="AO947" s="49"/>
      <c r="AQ947" s="36"/>
      <c r="AR947" s="36"/>
      <c r="AS947" s="36"/>
      <c r="AT947" s="36"/>
      <c r="AU947" s="36"/>
      <c r="AV947" s="36"/>
      <c r="AW947" s="36"/>
      <c r="AX947" s="36"/>
      <c r="AY947" s="36"/>
      <c r="AZ947" s="36"/>
      <c r="BA947" s="36"/>
      <c r="GH947" s="55"/>
      <c r="KD947" s="15"/>
      <c r="KE947" s="51"/>
      <c r="KH947" s="15"/>
      <c r="KI947" s="15"/>
    </row>
    <row r="948" spans="3:295">
      <c r="C948" s="1"/>
      <c r="AE948" s="51"/>
      <c r="AO948" s="49"/>
      <c r="AQ948" s="36"/>
      <c r="AR948" s="36"/>
      <c r="AS948" s="36"/>
      <c r="AT948" s="36"/>
      <c r="AU948" s="36"/>
      <c r="AV948" s="36"/>
      <c r="AW948" s="36"/>
      <c r="AX948" s="36"/>
      <c r="AY948" s="36"/>
      <c r="AZ948" s="36"/>
      <c r="BA948" s="36"/>
      <c r="GH948" s="55"/>
      <c r="KD948" s="15"/>
      <c r="KE948" s="51"/>
      <c r="KH948" s="15"/>
      <c r="KI948" s="15"/>
    </row>
    <row r="949" spans="3:295">
      <c r="C949" s="1"/>
      <c r="AE949" s="51"/>
      <c r="AO949" s="49"/>
      <c r="AQ949" s="36"/>
      <c r="AR949" s="36"/>
      <c r="AS949" s="36"/>
      <c r="AT949" s="36"/>
      <c r="AU949" s="36"/>
      <c r="AV949" s="36"/>
      <c r="AW949" s="36"/>
      <c r="AX949" s="36"/>
      <c r="AY949" s="36"/>
      <c r="AZ949" s="36"/>
      <c r="BA949" s="36"/>
      <c r="GH949" s="55"/>
      <c r="KD949" s="15"/>
      <c r="KE949" s="51"/>
      <c r="KH949" s="15"/>
      <c r="KI949" s="15"/>
    </row>
    <row r="950" spans="3:295">
      <c r="C950" s="1"/>
      <c r="AE950" s="51"/>
      <c r="AO950" s="49"/>
      <c r="AQ950" s="36"/>
      <c r="AR950" s="36"/>
      <c r="AS950" s="36"/>
      <c r="AT950" s="36"/>
      <c r="AU950" s="36"/>
      <c r="AV950" s="36"/>
      <c r="AW950" s="36"/>
      <c r="AX950" s="36"/>
      <c r="AY950" s="36"/>
      <c r="AZ950" s="36"/>
      <c r="BA950" s="36"/>
      <c r="GH950" s="55"/>
      <c r="KD950" s="15"/>
      <c r="KE950" s="51"/>
      <c r="KH950" s="15"/>
      <c r="KI950" s="15"/>
    </row>
    <row r="951" spans="3:295">
      <c r="C951" s="1"/>
      <c r="AE951" s="51"/>
      <c r="AO951" s="49"/>
      <c r="AQ951" s="36"/>
      <c r="AR951" s="36"/>
      <c r="AS951" s="36"/>
      <c r="AT951" s="36"/>
      <c r="AU951" s="36"/>
      <c r="AV951" s="36"/>
      <c r="AW951" s="36"/>
      <c r="AX951" s="36"/>
      <c r="AY951" s="36"/>
      <c r="AZ951" s="36"/>
      <c r="BA951" s="36"/>
      <c r="GH951" s="55"/>
      <c r="KD951" s="15"/>
      <c r="KE951" s="51"/>
      <c r="KH951" s="15"/>
      <c r="KI951" s="15"/>
    </row>
    <row r="952" spans="3:295">
      <c r="C952" s="1"/>
      <c r="AE952" s="51"/>
      <c r="AO952" s="49"/>
      <c r="AQ952" s="36"/>
      <c r="AR952" s="36"/>
      <c r="AS952" s="36"/>
      <c r="AT952" s="36"/>
      <c r="AU952" s="36"/>
      <c r="AV952" s="36"/>
      <c r="AW952" s="36"/>
      <c r="AX952" s="36"/>
      <c r="AY952" s="36"/>
      <c r="AZ952" s="36"/>
      <c r="BA952" s="36"/>
      <c r="GH952" s="55"/>
      <c r="KD952" s="15"/>
      <c r="KE952" s="51"/>
      <c r="KH952" s="15"/>
      <c r="KI952" s="15"/>
    </row>
    <row r="953" spans="3:295">
      <c r="C953" s="1"/>
      <c r="AE953" s="51"/>
      <c r="AO953" s="49"/>
      <c r="AQ953" s="36"/>
      <c r="AR953" s="36"/>
      <c r="AS953" s="36"/>
      <c r="AT953" s="36"/>
      <c r="AU953" s="36"/>
      <c r="AV953" s="36"/>
      <c r="AW953" s="36"/>
      <c r="AX953" s="36"/>
      <c r="AY953" s="36"/>
      <c r="AZ953" s="36"/>
      <c r="BA953" s="36"/>
      <c r="GH953" s="55"/>
      <c r="KD953" s="15"/>
      <c r="KE953" s="51"/>
      <c r="KH953" s="15"/>
      <c r="KI953" s="15"/>
    </row>
    <row r="954" spans="3:295">
      <c r="C954" s="1"/>
      <c r="AE954" s="51"/>
      <c r="AO954" s="49"/>
      <c r="AQ954" s="36"/>
      <c r="AR954" s="36"/>
      <c r="AS954" s="36"/>
      <c r="AT954" s="36"/>
      <c r="AU954" s="36"/>
      <c r="AV954" s="36"/>
      <c r="AW954" s="36"/>
      <c r="AX954" s="36"/>
      <c r="AY954" s="36"/>
      <c r="AZ954" s="36"/>
      <c r="BA954" s="36"/>
      <c r="GH954" s="55"/>
      <c r="KD954" s="15"/>
      <c r="KE954" s="51"/>
      <c r="KH954" s="15"/>
      <c r="KI954" s="15"/>
    </row>
    <row r="955" spans="3:295">
      <c r="C955" s="1"/>
      <c r="AE955" s="51"/>
      <c r="AO955" s="49"/>
      <c r="AQ955" s="36"/>
      <c r="AR955" s="36"/>
      <c r="AS955" s="36"/>
      <c r="AT955" s="36"/>
      <c r="AU955" s="36"/>
      <c r="AV955" s="36"/>
      <c r="AW955" s="36"/>
      <c r="AX955" s="36"/>
      <c r="AY955" s="36"/>
      <c r="AZ955" s="36"/>
      <c r="BA955" s="36"/>
      <c r="GH955" s="55"/>
      <c r="KD955" s="15"/>
      <c r="KE955" s="51"/>
      <c r="KH955" s="15"/>
      <c r="KI955" s="15"/>
    </row>
    <row r="956" spans="3:295">
      <c r="C956" s="1"/>
      <c r="AE956" s="51"/>
      <c r="AO956" s="49"/>
      <c r="AQ956" s="36"/>
      <c r="AR956" s="36"/>
      <c r="AS956" s="36"/>
      <c r="AT956" s="36"/>
      <c r="AU956" s="36"/>
      <c r="AV956" s="36"/>
      <c r="AW956" s="36"/>
      <c r="AX956" s="36"/>
      <c r="AY956" s="36"/>
      <c r="AZ956" s="36"/>
      <c r="BA956" s="36"/>
      <c r="GH956" s="55"/>
      <c r="KD956" s="15"/>
      <c r="KE956" s="51"/>
      <c r="KH956" s="15"/>
      <c r="KI956" s="15"/>
    </row>
    <row r="957" spans="3:295">
      <c r="C957" s="1"/>
      <c r="AE957" s="51"/>
      <c r="AO957" s="49"/>
      <c r="AQ957" s="36"/>
      <c r="AR957" s="36"/>
      <c r="AS957" s="36"/>
      <c r="AT957" s="36"/>
      <c r="AU957" s="36"/>
      <c r="AV957" s="36"/>
      <c r="AW957" s="36"/>
      <c r="AX957" s="36"/>
      <c r="AY957" s="36"/>
      <c r="AZ957" s="36"/>
      <c r="BA957" s="36"/>
      <c r="GH957" s="55"/>
      <c r="KD957" s="15"/>
      <c r="KE957" s="51"/>
      <c r="KH957" s="15"/>
      <c r="KI957" s="15"/>
    </row>
    <row r="958" spans="3:295">
      <c r="C958" s="1"/>
      <c r="AE958" s="51"/>
      <c r="AO958" s="49"/>
      <c r="AQ958" s="36"/>
      <c r="AR958" s="36"/>
      <c r="AS958" s="36"/>
      <c r="AT958" s="36"/>
      <c r="AU958" s="36"/>
      <c r="AV958" s="36"/>
      <c r="AW958" s="36"/>
      <c r="AX958" s="36"/>
      <c r="AY958" s="36"/>
      <c r="AZ958" s="36"/>
      <c r="BA958" s="36"/>
      <c r="GH958" s="55"/>
      <c r="KD958" s="15"/>
      <c r="KE958" s="51"/>
      <c r="KH958" s="15"/>
      <c r="KI958" s="15"/>
    </row>
    <row r="959" spans="3:295">
      <c r="C959" s="1"/>
      <c r="AE959" s="51"/>
      <c r="AO959" s="49"/>
      <c r="AQ959" s="36"/>
      <c r="AR959" s="36"/>
      <c r="AS959" s="36"/>
      <c r="AT959" s="36"/>
      <c r="AU959" s="36"/>
      <c r="AV959" s="36"/>
      <c r="AW959" s="36"/>
      <c r="AX959" s="36"/>
      <c r="AY959" s="36"/>
      <c r="AZ959" s="36"/>
      <c r="BA959" s="36"/>
      <c r="GH959" s="55"/>
      <c r="KD959" s="15"/>
      <c r="KE959" s="51"/>
      <c r="KH959" s="15"/>
      <c r="KI959" s="15"/>
    </row>
    <row r="960" spans="3:295">
      <c r="C960" s="1"/>
      <c r="AE960" s="51"/>
      <c r="AO960" s="49"/>
      <c r="AQ960" s="36"/>
      <c r="AR960" s="36"/>
      <c r="AS960" s="36"/>
      <c r="AT960" s="36"/>
      <c r="AU960" s="36"/>
      <c r="AV960" s="36"/>
      <c r="AW960" s="36"/>
      <c r="AX960" s="36"/>
      <c r="AY960" s="36"/>
      <c r="AZ960" s="36"/>
      <c r="BA960" s="36"/>
      <c r="GH960" s="55"/>
      <c r="KD960" s="15"/>
      <c r="KE960" s="51"/>
      <c r="KH960" s="15"/>
      <c r="KI960" s="15"/>
    </row>
    <row r="961" spans="3:295">
      <c r="C961" s="1"/>
      <c r="AE961" s="51"/>
      <c r="AO961" s="49"/>
      <c r="AQ961" s="36"/>
      <c r="AR961" s="36"/>
      <c r="AS961" s="36"/>
      <c r="AT961" s="36"/>
      <c r="AU961" s="36"/>
      <c r="AV961" s="36"/>
      <c r="AW961" s="36"/>
      <c r="AX961" s="36"/>
      <c r="AY961" s="36"/>
      <c r="AZ961" s="36"/>
      <c r="BA961" s="36"/>
      <c r="GH961" s="55"/>
      <c r="KD961" s="15"/>
      <c r="KE961" s="51"/>
      <c r="KH961" s="15"/>
      <c r="KI961" s="15"/>
    </row>
    <row r="962" spans="3:295">
      <c r="C962" s="1"/>
      <c r="AE962" s="51"/>
      <c r="AO962" s="49"/>
      <c r="AQ962" s="36"/>
      <c r="AR962" s="36"/>
      <c r="AS962" s="36"/>
      <c r="AT962" s="36"/>
      <c r="AU962" s="36"/>
      <c r="AV962" s="36"/>
      <c r="AW962" s="36"/>
      <c r="AX962" s="36"/>
      <c r="AY962" s="36"/>
      <c r="AZ962" s="36"/>
      <c r="BA962" s="36"/>
      <c r="GH962" s="55"/>
      <c r="KD962" s="15"/>
      <c r="KE962" s="51"/>
      <c r="KH962" s="15"/>
      <c r="KI962" s="15"/>
    </row>
    <row r="963" spans="3:295">
      <c r="C963" s="1"/>
      <c r="AE963" s="51"/>
      <c r="AO963" s="49"/>
      <c r="AQ963" s="36"/>
      <c r="AR963" s="36"/>
      <c r="AS963" s="36"/>
      <c r="AT963" s="36"/>
      <c r="AU963" s="36"/>
      <c r="AV963" s="36"/>
      <c r="AW963" s="36"/>
      <c r="AX963" s="36"/>
      <c r="AY963" s="36"/>
      <c r="AZ963" s="36"/>
      <c r="BA963" s="36"/>
      <c r="GH963" s="55"/>
      <c r="KD963" s="15"/>
      <c r="KE963" s="51"/>
      <c r="KH963" s="15"/>
      <c r="KI963" s="15"/>
    </row>
    <row r="964" spans="3:295">
      <c r="C964" s="1"/>
      <c r="AE964" s="51"/>
      <c r="AO964" s="49"/>
      <c r="AQ964" s="36"/>
      <c r="AR964" s="36"/>
      <c r="AS964" s="36"/>
      <c r="AT964" s="36"/>
      <c r="AU964" s="36"/>
      <c r="AV964" s="36"/>
      <c r="AW964" s="36"/>
      <c r="AX964" s="36"/>
      <c r="AY964" s="36"/>
      <c r="AZ964" s="36"/>
      <c r="BA964" s="36"/>
      <c r="GH964" s="55"/>
      <c r="KD964" s="15"/>
      <c r="KE964" s="51"/>
      <c r="KH964" s="15"/>
      <c r="KI964" s="15"/>
    </row>
    <row r="965" spans="3:295">
      <c r="C965" s="1"/>
      <c r="AE965" s="51"/>
      <c r="AO965" s="49"/>
      <c r="AQ965" s="36"/>
      <c r="AR965" s="36"/>
      <c r="AS965" s="36"/>
      <c r="AT965" s="36"/>
      <c r="AU965" s="36"/>
      <c r="AV965" s="36"/>
      <c r="AW965" s="36"/>
      <c r="AX965" s="36"/>
      <c r="AY965" s="36"/>
      <c r="AZ965" s="36"/>
      <c r="BA965" s="36"/>
      <c r="GH965" s="55"/>
      <c r="KD965" s="15"/>
      <c r="KE965" s="51"/>
      <c r="KH965" s="15"/>
      <c r="KI965" s="15"/>
    </row>
    <row r="966" spans="3:295">
      <c r="C966" s="1"/>
      <c r="AE966" s="51"/>
      <c r="AO966" s="49"/>
      <c r="AQ966" s="36"/>
      <c r="AR966" s="36"/>
      <c r="AS966" s="36"/>
      <c r="AT966" s="36"/>
      <c r="AU966" s="36"/>
      <c r="AV966" s="36"/>
      <c r="AW966" s="36"/>
      <c r="AX966" s="36"/>
      <c r="AY966" s="36"/>
      <c r="AZ966" s="36"/>
      <c r="BA966" s="36"/>
      <c r="GH966" s="55"/>
      <c r="KD966" s="15"/>
      <c r="KE966" s="51"/>
      <c r="KH966" s="15"/>
      <c r="KI966" s="15"/>
    </row>
    <row r="967" spans="3:295">
      <c r="C967" s="1"/>
      <c r="AE967" s="51"/>
      <c r="AO967" s="49"/>
      <c r="AQ967" s="36"/>
      <c r="AR967" s="36"/>
      <c r="AS967" s="36"/>
      <c r="AT967" s="36"/>
      <c r="AU967" s="36"/>
      <c r="AV967" s="36"/>
      <c r="AW967" s="36"/>
      <c r="AX967" s="36"/>
      <c r="AY967" s="36"/>
      <c r="AZ967" s="36"/>
      <c r="BA967" s="36"/>
      <c r="GH967" s="55"/>
      <c r="KD967" s="15"/>
      <c r="KE967" s="51"/>
      <c r="KH967" s="15"/>
      <c r="KI967" s="15"/>
    </row>
    <row r="968" spans="3:295">
      <c r="C968" s="1"/>
      <c r="AE968" s="51"/>
      <c r="AO968" s="49"/>
      <c r="AQ968" s="36"/>
      <c r="AR968" s="36"/>
      <c r="AS968" s="36"/>
      <c r="AT968" s="36"/>
      <c r="AU968" s="36"/>
      <c r="AV968" s="36"/>
      <c r="AW968" s="36"/>
      <c r="AX968" s="36"/>
      <c r="AY968" s="36"/>
      <c r="AZ968" s="36"/>
      <c r="BA968" s="36"/>
      <c r="GH968" s="55"/>
      <c r="KD968" s="15"/>
      <c r="KE968" s="51"/>
      <c r="KH968" s="15"/>
      <c r="KI968" s="15"/>
    </row>
    <row r="969" spans="3:295">
      <c r="C969" s="1"/>
      <c r="AE969" s="51"/>
      <c r="AO969" s="49"/>
      <c r="AQ969" s="36"/>
      <c r="AR969" s="36"/>
      <c r="AS969" s="36"/>
      <c r="AT969" s="36"/>
      <c r="AU969" s="36"/>
      <c r="AV969" s="36"/>
      <c r="AW969" s="36"/>
      <c r="AX969" s="36"/>
      <c r="AY969" s="36"/>
      <c r="AZ969" s="36"/>
      <c r="BA969" s="36"/>
      <c r="GH969" s="55"/>
      <c r="KD969" s="15"/>
      <c r="KE969" s="51"/>
      <c r="KH969" s="15"/>
      <c r="KI969" s="15"/>
    </row>
    <row r="970" spans="3:295">
      <c r="C970" s="1"/>
      <c r="AE970" s="51"/>
      <c r="AO970" s="49"/>
      <c r="AQ970" s="36"/>
      <c r="AR970" s="36"/>
      <c r="AS970" s="36"/>
      <c r="AT970" s="36"/>
      <c r="AU970" s="36"/>
      <c r="AV970" s="36"/>
      <c r="AW970" s="36"/>
      <c r="AX970" s="36"/>
      <c r="AY970" s="36"/>
      <c r="AZ970" s="36"/>
      <c r="BA970" s="36"/>
      <c r="GH970" s="55"/>
      <c r="KD970" s="15"/>
      <c r="KE970" s="51"/>
      <c r="KH970" s="15"/>
      <c r="KI970" s="15"/>
    </row>
    <row r="971" spans="3:295">
      <c r="C971" s="1"/>
      <c r="AE971" s="51"/>
      <c r="AO971" s="49"/>
      <c r="AQ971" s="36"/>
      <c r="AR971" s="36"/>
      <c r="AS971" s="36"/>
      <c r="AT971" s="36"/>
      <c r="AU971" s="36"/>
      <c r="AV971" s="36"/>
      <c r="AW971" s="36"/>
      <c r="AX971" s="36"/>
      <c r="AY971" s="36"/>
      <c r="AZ971" s="36"/>
      <c r="BA971" s="36"/>
      <c r="GH971" s="55"/>
      <c r="KD971" s="15"/>
      <c r="KE971" s="51"/>
      <c r="KH971" s="15"/>
      <c r="KI971" s="15"/>
    </row>
    <row r="972" spans="3:295">
      <c r="C972" s="1"/>
      <c r="AE972" s="51"/>
      <c r="AO972" s="49"/>
      <c r="AQ972" s="36"/>
      <c r="AR972" s="36"/>
      <c r="AS972" s="36"/>
      <c r="AT972" s="36"/>
      <c r="AU972" s="36"/>
      <c r="AV972" s="36"/>
      <c r="AW972" s="36"/>
      <c r="AX972" s="36"/>
      <c r="AY972" s="36"/>
      <c r="AZ972" s="36"/>
      <c r="BA972" s="36"/>
      <c r="GH972" s="55"/>
      <c r="KD972" s="15"/>
      <c r="KE972" s="51"/>
      <c r="KH972" s="15"/>
      <c r="KI972" s="15"/>
    </row>
    <row r="973" spans="3:295">
      <c r="C973" s="1"/>
      <c r="AE973" s="51"/>
      <c r="AO973" s="49"/>
      <c r="AQ973" s="36"/>
      <c r="AR973" s="36"/>
      <c r="AS973" s="36"/>
      <c r="AT973" s="36"/>
      <c r="AU973" s="36"/>
      <c r="AV973" s="36"/>
      <c r="AW973" s="36"/>
      <c r="AX973" s="36"/>
      <c r="AY973" s="36"/>
      <c r="AZ973" s="36"/>
      <c r="BA973" s="36"/>
      <c r="GH973" s="55"/>
      <c r="KD973" s="15"/>
      <c r="KE973" s="51"/>
      <c r="KH973" s="15"/>
      <c r="KI973" s="15"/>
    </row>
    <row r="974" spans="3:295">
      <c r="C974" s="1"/>
      <c r="AE974" s="51"/>
      <c r="AO974" s="49"/>
      <c r="AQ974" s="36"/>
      <c r="AR974" s="36"/>
      <c r="AS974" s="36"/>
      <c r="AT974" s="36"/>
      <c r="AU974" s="36"/>
      <c r="AV974" s="36"/>
      <c r="AW974" s="36"/>
      <c r="AX974" s="36"/>
      <c r="AY974" s="36"/>
      <c r="AZ974" s="36"/>
      <c r="BA974" s="36"/>
      <c r="GH974" s="55"/>
      <c r="KD974" s="15"/>
      <c r="KE974" s="51"/>
      <c r="KH974" s="15"/>
      <c r="KI974" s="15"/>
    </row>
    <row r="975" spans="3:295">
      <c r="C975" s="1"/>
      <c r="AE975" s="51"/>
      <c r="AO975" s="49"/>
      <c r="AQ975" s="36"/>
      <c r="AR975" s="36"/>
      <c r="AS975" s="36"/>
      <c r="AT975" s="36"/>
      <c r="AU975" s="36"/>
      <c r="AV975" s="36"/>
      <c r="AW975" s="36"/>
      <c r="AX975" s="36"/>
      <c r="AY975" s="36"/>
      <c r="AZ975" s="36"/>
      <c r="BA975" s="36"/>
      <c r="GH975" s="55"/>
      <c r="KD975" s="15"/>
      <c r="KE975" s="51"/>
      <c r="KH975" s="15"/>
      <c r="KI975" s="15"/>
    </row>
    <row r="976" spans="3:295">
      <c r="C976" s="1"/>
      <c r="AE976" s="51"/>
      <c r="AO976" s="49"/>
      <c r="AQ976" s="36"/>
      <c r="AR976" s="36"/>
      <c r="AS976" s="36"/>
      <c r="AT976" s="36"/>
      <c r="AU976" s="36"/>
      <c r="AV976" s="36"/>
      <c r="AW976" s="36"/>
      <c r="AX976" s="36"/>
      <c r="AY976" s="36"/>
      <c r="AZ976" s="36"/>
      <c r="BA976" s="36"/>
      <c r="GH976" s="55"/>
      <c r="KD976" s="15"/>
      <c r="KE976" s="51"/>
      <c r="KH976" s="15"/>
      <c r="KI976" s="15"/>
    </row>
    <row r="977" spans="3:295">
      <c r="C977" s="1"/>
      <c r="AE977" s="51"/>
      <c r="AO977" s="49"/>
      <c r="AQ977" s="36"/>
      <c r="AR977" s="36"/>
      <c r="AS977" s="36"/>
      <c r="AT977" s="36"/>
      <c r="AU977" s="36"/>
      <c r="AV977" s="36"/>
      <c r="AW977" s="36"/>
      <c r="AX977" s="36"/>
      <c r="AY977" s="36"/>
      <c r="AZ977" s="36"/>
      <c r="BA977" s="36"/>
      <c r="GH977" s="55"/>
      <c r="KD977" s="15"/>
      <c r="KE977" s="51"/>
      <c r="KH977" s="15"/>
      <c r="KI977" s="15"/>
    </row>
    <row r="978" spans="3:295">
      <c r="C978" s="1"/>
      <c r="AE978" s="51"/>
      <c r="AO978" s="49"/>
      <c r="AQ978" s="36"/>
      <c r="AR978" s="36"/>
      <c r="AS978" s="36"/>
      <c r="AT978" s="36"/>
      <c r="AU978" s="36"/>
      <c r="AV978" s="36"/>
      <c r="AW978" s="36"/>
      <c r="AX978" s="36"/>
      <c r="AY978" s="36"/>
      <c r="AZ978" s="36"/>
      <c r="BA978" s="36"/>
      <c r="GH978" s="55"/>
      <c r="KD978" s="15"/>
      <c r="KE978" s="51"/>
      <c r="KH978" s="15"/>
      <c r="KI978" s="15"/>
    </row>
    <row r="979" spans="3:295">
      <c r="C979" s="1"/>
      <c r="AE979" s="51"/>
      <c r="AO979" s="49"/>
      <c r="AQ979" s="36"/>
      <c r="AR979" s="36"/>
      <c r="AS979" s="36"/>
      <c r="AT979" s="36"/>
      <c r="AU979" s="36"/>
      <c r="AV979" s="36"/>
      <c r="AW979" s="36"/>
      <c r="AX979" s="36"/>
      <c r="AY979" s="36"/>
      <c r="AZ979" s="36"/>
      <c r="BA979" s="36"/>
      <c r="GH979" s="55"/>
      <c r="KD979" s="15"/>
      <c r="KE979" s="51"/>
      <c r="KH979" s="15"/>
      <c r="KI979" s="15"/>
    </row>
    <row r="980" spans="3:295">
      <c r="C980" s="1"/>
      <c r="AE980" s="51"/>
      <c r="AO980" s="49"/>
      <c r="AQ980" s="36"/>
      <c r="AR980" s="36"/>
      <c r="AS980" s="36"/>
      <c r="AT980" s="36"/>
      <c r="AU980" s="36"/>
      <c r="AV980" s="36"/>
      <c r="AW980" s="36"/>
      <c r="AX980" s="36"/>
      <c r="AY980" s="36"/>
      <c r="AZ980" s="36"/>
      <c r="BA980" s="36"/>
      <c r="GH980" s="55"/>
      <c r="KD980" s="15"/>
      <c r="KE980" s="51"/>
      <c r="KH980" s="15"/>
      <c r="KI980" s="15"/>
    </row>
    <row r="981" spans="3:295">
      <c r="C981" s="1"/>
      <c r="AE981" s="51"/>
      <c r="AO981" s="49"/>
      <c r="AQ981" s="36"/>
      <c r="AR981" s="36"/>
      <c r="AS981" s="36"/>
      <c r="AT981" s="36"/>
      <c r="AU981" s="36"/>
      <c r="AV981" s="36"/>
      <c r="AW981" s="36"/>
      <c r="AX981" s="36"/>
      <c r="AY981" s="36"/>
      <c r="AZ981" s="36"/>
      <c r="BA981" s="36"/>
      <c r="GH981" s="55"/>
      <c r="KD981" s="15"/>
      <c r="KE981" s="51"/>
      <c r="KH981" s="15"/>
      <c r="KI981" s="15"/>
    </row>
    <row r="982" spans="3:295">
      <c r="C982" s="1"/>
      <c r="AE982" s="51"/>
      <c r="AO982" s="49"/>
      <c r="AQ982" s="36"/>
      <c r="AR982" s="36"/>
      <c r="AS982" s="36"/>
      <c r="AT982" s="36"/>
      <c r="AU982" s="36"/>
      <c r="AV982" s="36"/>
      <c r="AW982" s="36"/>
      <c r="AX982" s="36"/>
      <c r="AY982" s="36"/>
      <c r="AZ982" s="36"/>
      <c r="BA982" s="36"/>
      <c r="GH982" s="55"/>
      <c r="KD982" s="15"/>
      <c r="KE982" s="51"/>
      <c r="KH982" s="15"/>
      <c r="KI982" s="15"/>
    </row>
    <row r="983" spans="3:295">
      <c r="C983" s="1"/>
      <c r="AE983" s="51"/>
      <c r="AO983" s="49"/>
      <c r="AQ983" s="36"/>
      <c r="AR983" s="36"/>
      <c r="AS983" s="36"/>
      <c r="AT983" s="36"/>
      <c r="AU983" s="36"/>
      <c r="AV983" s="36"/>
      <c r="AW983" s="36"/>
      <c r="AX983" s="36"/>
      <c r="AY983" s="36"/>
      <c r="AZ983" s="36"/>
      <c r="BA983" s="36"/>
      <c r="GH983" s="55"/>
      <c r="KD983" s="15"/>
      <c r="KE983" s="51"/>
      <c r="KH983" s="15"/>
      <c r="KI983" s="15"/>
    </row>
    <row r="984" spans="3:295">
      <c r="C984" s="1"/>
      <c r="AE984" s="51"/>
      <c r="AO984" s="49"/>
      <c r="AQ984" s="36"/>
      <c r="AR984" s="36"/>
      <c r="AS984" s="36"/>
      <c r="AT984" s="36"/>
      <c r="AU984" s="36"/>
      <c r="AV984" s="36"/>
      <c r="AW984" s="36"/>
      <c r="AX984" s="36"/>
      <c r="AY984" s="36"/>
      <c r="AZ984" s="36"/>
      <c r="BA984" s="36"/>
      <c r="GH984" s="55"/>
      <c r="KD984" s="15"/>
      <c r="KE984" s="51"/>
      <c r="KH984" s="15"/>
      <c r="KI984" s="15"/>
    </row>
    <row r="985" spans="3:295">
      <c r="C985" s="1"/>
      <c r="AE985" s="51"/>
      <c r="AO985" s="49"/>
      <c r="AQ985" s="36"/>
      <c r="AR985" s="36"/>
      <c r="AS985" s="36"/>
      <c r="AT985" s="36"/>
      <c r="AU985" s="36"/>
      <c r="AV985" s="36"/>
      <c r="AW985" s="36"/>
      <c r="AX985" s="36"/>
      <c r="AY985" s="36"/>
      <c r="AZ985" s="36"/>
      <c r="BA985" s="36"/>
      <c r="GH985" s="55"/>
      <c r="KD985" s="15"/>
      <c r="KE985" s="51"/>
      <c r="KH985" s="15"/>
      <c r="KI985" s="15"/>
    </row>
    <row r="986" spans="3:295">
      <c r="C986" s="1"/>
      <c r="AE986" s="51"/>
      <c r="AO986" s="49"/>
      <c r="AQ986" s="36"/>
      <c r="AR986" s="36"/>
      <c r="AS986" s="36"/>
      <c r="AT986" s="36"/>
      <c r="AU986" s="36"/>
      <c r="AV986" s="36"/>
      <c r="AW986" s="36"/>
      <c r="AX986" s="36"/>
      <c r="AY986" s="36"/>
      <c r="AZ986" s="36"/>
      <c r="BA986" s="36"/>
      <c r="GH986" s="55"/>
      <c r="KD986" s="15"/>
      <c r="KE986" s="51"/>
      <c r="KH986" s="15"/>
      <c r="KI986" s="15"/>
    </row>
    <row r="987" spans="3:295">
      <c r="C987" s="1"/>
      <c r="AE987" s="51"/>
      <c r="AO987" s="49"/>
      <c r="AQ987" s="36"/>
      <c r="AR987" s="36"/>
      <c r="AS987" s="36"/>
      <c r="AT987" s="36"/>
      <c r="AU987" s="36"/>
      <c r="AV987" s="36"/>
      <c r="AW987" s="36"/>
      <c r="AX987" s="36"/>
      <c r="AY987" s="36"/>
      <c r="AZ987" s="36"/>
      <c r="BA987" s="36"/>
      <c r="GH987" s="55"/>
      <c r="KD987" s="15"/>
      <c r="KE987" s="51"/>
      <c r="KH987" s="15"/>
      <c r="KI987" s="15"/>
    </row>
    <row r="988" spans="3:295">
      <c r="C988" s="1"/>
      <c r="AE988" s="51"/>
      <c r="AO988" s="49"/>
      <c r="AQ988" s="36"/>
      <c r="AR988" s="36"/>
      <c r="AS988" s="36"/>
      <c r="AT988" s="36"/>
      <c r="AU988" s="36"/>
      <c r="AV988" s="36"/>
      <c r="AW988" s="36"/>
      <c r="AX988" s="36"/>
      <c r="AY988" s="36"/>
      <c r="AZ988" s="36"/>
      <c r="BA988" s="36"/>
      <c r="GH988" s="55"/>
      <c r="KD988" s="15"/>
      <c r="KE988" s="51"/>
      <c r="KH988" s="15"/>
      <c r="KI988" s="15"/>
    </row>
    <row r="989" spans="3:295">
      <c r="C989" s="1"/>
      <c r="AE989" s="51"/>
      <c r="AO989" s="49"/>
      <c r="AQ989" s="36"/>
      <c r="AR989" s="36"/>
      <c r="AS989" s="36"/>
      <c r="AT989" s="36"/>
      <c r="AU989" s="36"/>
      <c r="AV989" s="36"/>
      <c r="AW989" s="36"/>
      <c r="AX989" s="36"/>
      <c r="AY989" s="36"/>
      <c r="AZ989" s="36"/>
      <c r="BA989" s="36"/>
      <c r="GH989" s="55"/>
      <c r="KD989" s="15"/>
      <c r="KE989" s="51"/>
      <c r="KH989" s="15"/>
      <c r="KI989" s="15"/>
    </row>
    <row r="990" spans="3:295">
      <c r="C990" s="1"/>
      <c r="AE990" s="51"/>
      <c r="AO990" s="49"/>
      <c r="AQ990" s="36"/>
      <c r="AR990" s="36"/>
      <c r="AS990" s="36"/>
      <c r="AT990" s="36"/>
      <c r="AU990" s="36"/>
      <c r="AV990" s="36"/>
      <c r="AW990" s="36"/>
      <c r="AX990" s="36"/>
      <c r="AY990" s="36"/>
      <c r="AZ990" s="36"/>
      <c r="BA990" s="36"/>
      <c r="GH990" s="55"/>
      <c r="KD990" s="15"/>
      <c r="KE990" s="51"/>
      <c r="KH990" s="15"/>
      <c r="KI990" s="15"/>
    </row>
    <row r="991" spans="3:295">
      <c r="C991" s="1"/>
      <c r="AE991" s="51"/>
      <c r="AO991" s="49"/>
      <c r="AQ991" s="36"/>
      <c r="AR991" s="36"/>
      <c r="AS991" s="36"/>
      <c r="AT991" s="36"/>
      <c r="AU991" s="36"/>
      <c r="AV991" s="36"/>
      <c r="AW991" s="36"/>
      <c r="AX991" s="36"/>
      <c r="AY991" s="36"/>
      <c r="AZ991" s="36"/>
      <c r="BA991" s="36"/>
      <c r="GH991" s="55"/>
      <c r="KD991" s="15"/>
      <c r="KE991" s="51"/>
      <c r="KH991" s="15"/>
      <c r="KI991" s="15"/>
    </row>
    <row r="992" spans="3:295">
      <c r="C992" s="1"/>
      <c r="AE992" s="51"/>
      <c r="AO992" s="49"/>
      <c r="AQ992" s="36"/>
      <c r="AR992" s="36"/>
      <c r="AS992" s="36"/>
      <c r="AT992" s="36"/>
      <c r="AU992" s="36"/>
      <c r="AV992" s="36"/>
      <c r="AW992" s="36"/>
      <c r="AX992" s="36"/>
      <c r="AY992" s="36"/>
      <c r="AZ992" s="36"/>
      <c r="BA992" s="36"/>
      <c r="GH992" s="55"/>
      <c r="KD992" s="15"/>
      <c r="KE992" s="51"/>
      <c r="KH992" s="15"/>
      <c r="KI992" s="15"/>
    </row>
    <row r="993" spans="3:295">
      <c r="C993" s="1"/>
      <c r="AE993" s="51"/>
      <c r="AO993" s="49"/>
      <c r="AQ993" s="36"/>
      <c r="AR993" s="36"/>
      <c r="AS993" s="36"/>
      <c r="AT993" s="36"/>
      <c r="AU993" s="36"/>
      <c r="AV993" s="36"/>
      <c r="AW993" s="36"/>
      <c r="AX993" s="36"/>
      <c r="AY993" s="36"/>
      <c r="AZ993" s="36"/>
      <c r="BA993" s="36"/>
      <c r="GH993" s="55"/>
      <c r="KD993" s="15"/>
      <c r="KE993" s="51"/>
      <c r="KH993" s="15"/>
      <c r="KI993" s="15"/>
    </row>
    <row r="994" spans="3:295">
      <c r="C994" s="1"/>
      <c r="AE994" s="51"/>
      <c r="AO994" s="49"/>
      <c r="AQ994" s="36"/>
      <c r="AR994" s="36"/>
      <c r="AS994" s="36"/>
      <c r="AT994" s="36"/>
      <c r="AU994" s="36"/>
      <c r="AV994" s="36"/>
      <c r="AW994" s="36"/>
      <c r="AX994" s="36"/>
      <c r="AY994" s="36"/>
      <c r="AZ994" s="36"/>
      <c r="BA994" s="36"/>
      <c r="GH994" s="55"/>
      <c r="KD994" s="15"/>
      <c r="KE994" s="51"/>
      <c r="KH994" s="15"/>
      <c r="KI994" s="15"/>
    </row>
    <row r="995" spans="3:295">
      <c r="C995" s="1"/>
      <c r="AE995" s="51"/>
      <c r="AO995" s="49"/>
      <c r="AQ995" s="36"/>
      <c r="AR995" s="36"/>
      <c r="AS995" s="36"/>
      <c r="AT995" s="36"/>
      <c r="AU995" s="36"/>
      <c r="AV995" s="36"/>
      <c r="AW995" s="36"/>
      <c r="AX995" s="36"/>
      <c r="AY995" s="36"/>
      <c r="AZ995" s="36"/>
      <c r="BA995" s="36"/>
      <c r="GH995" s="55"/>
      <c r="KD995" s="15"/>
      <c r="KE995" s="51"/>
      <c r="KH995" s="15"/>
      <c r="KI995" s="15"/>
    </row>
    <row r="996" spans="3:295">
      <c r="C996" s="1"/>
      <c r="AE996" s="51"/>
      <c r="AO996" s="49"/>
      <c r="AQ996" s="36"/>
      <c r="AR996" s="36"/>
      <c r="AS996" s="36"/>
      <c r="AT996" s="36"/>
      <c r="AU996" s="36"/>
      <c r="AV996" s="36"/>
      <c r="AW996" s="36"/>
      <c r="AX996" s="36"/>
      <c r="AY996" s="36"/>
      <c r="AZ996" s="36"/>
      <c r="BA996" s="36"/>
      <c r="GH996" s="55"/>
      <c r="KD996" s="15"/>
      <c r="KE996" s="51"/>
      <c r="KH996" s="15"/>
      <c r="KI996" s="15"/>
    </row>
    <row r="997" spans="3:295">
      <c r="C997" s="1"/>
      <c r="AE997" s="51"/>
      <c r="AO997" s="49"/>
      <c r="AQ997" s="36"/>
      <c r="AR997" s="36"/>
      <c r="AS997" s="36"/>
      <c r="AT997" s="36"/>
      <c r="AU997" s="36"/>
      <c r="AV997" s="36"/>
      <c r="AW997" s="36"/>
      <c r="AX997" s="36"/>
      <c r="AY997" s="36"/>
      <c r="AZ997" s="36"/>
      <c r="BA997" s="36"/>
      <c r="GH997" s="55"/>
      <c r="KD997" s="15"/>
      <c r="KE997" s="51"/>
      <c r="KH997" s="15"/>
      <c r="KI997" s="15"/>
    </row>
    <row r="998" spans="3:295">
      <c r="C998" s="1"/>
      <c r="AE998" s="51"/>
      <c r="AO998" s="49"/>
      <c r="AQ998" s="36"/>
      <c r="AR998" s="36"/>
      <c r="AS998" s="36"/>
      <c r="AT998" s="36"/>
      <c r="AU998" s="36"/>
      <c r="AV998" s="36"/>
      <c r="AW998" s="36"/>
      <c r="AX998" s="36"/>
      <c r="AY998" s="36"/>
      <c r="AZ998" s="36"/>
      <c r="BA998" s="36"/>
      <c r="GH998" s="55"/>
      <c r="KD998" s="15"/>
      <c r="KE998" s="51"/>
      <c r="KH998" s="15"/>
      <c r="KI998" s="15"/>
    </row>
    <row r="999" spans="3:295">
      <c r="C999" s="1"/>
      <c r="AE999" s="51"/>
      <c r="AO999" s="49"/>
      <c r="AQ999" s="36"/>
      <c r="AR999" s="36"/>
      <c r="AS999" s="36"/>
      <c r="AT999" s="36"/>
      <c r="AU999" s="36"/>
      <c r="AV999" s="36"/>
      <c r="AW999" s="36"/>
      <c r="AX999" s="36"/>
      <c r="AY999" s="36"/>
      <c r="AZ999" s="36"/>
      <c r="BA999" s="36"/>
      <c r="GH999" s="55"/>
      <c r="KD999" s="15"/>
      <c r="KE999" s="51"/>
      <c r="KH999" s="15"/>
      <c r="KI999" s="15"/>
    </row>
    <row r="1000" spans="3:295">
      <c r="C1000" s="1"/>
      <c r="AE1000" s="51"/>
      <c r="AO1000" s="49"/>
      <c r="AQ1000" s="36"/>
      <c r="AR1000" s="36"/>
      <c r="AS1000" s="36"/>
      <c r="AT1000" s="36"/>
      <c r="AU1000" s="36"/>
      <c r="AV1000" s="36"/>
      <c r="AW1000" s="36"/>
      <c r="AX1000" s="36"/>
      <c r="AY1000" s="36"/>
      <c r="AZ1000" s="36"/>
      <c r="BA1000" s="36"/>
      <c r="GH1000" s="55"/>
      <c r="KD1000" s="15"/>
      <c r="KE1000" s="51"/>
      <c r="KH1000" s="15"/>
      <c r="KI1000" s="15"/>
    </row>
    <row r="1001" spans="3:295">
      <c r="C1001" s="1"/>
      <c r="AE1001" s="51"/>
      <c r="AO1001" s="49"/>
      <c r="AQ1001" s="36"/>
      <c r="AR1001" s="36"/>
      <c r="AS1001" s="36"/>
      <c r="AT1001" s="36"/>
      <c r="AU1001" s="36"/>
      <c r="AV1001" s="36"/>
      <c r="AW1001" s="36"/>
      <c r="AX1001" s="36"/>
      <c r="AY1001" s="36"/>
      <c r="AZ1001" s="36"/>
      <c r="BA1001" s="36"/>
      <c r="GH1001" s="55"/>
      <c r="KD1001" s="15"/>
      <c r="KE1001" s="51"/>
      <c r="KH1001" s="15"/>
      <c r="KI1001" s="15"/>
    </row>
    <row r="1002" spans="3:295">
      <c r="C1002" s="1"/>
      <c r="AE1002" s="51"/>
      <c r="AO1002" s="49"/>
      <c r="AQ1002" s="36"/>
      <c r="AR1002" s="36"/>
      <c r="AS1002" s="36"/>
      <c r="AT1002" s="36"/>
      <c r="AU1002" s="36"/>
      <c r="AV1002" s="36"/>
      <c r="AW1002" s="36"/>
      <c r="AX1002" s="36"/>
      <c r="AY1002" s="36"/>
      <c r="AZ1002" s="36"/>
      <c r="BA1002" s="36"/>
      <c r="GH1002" s="55"/>
      <c r="KD1002" s="15"/>
      <c r="KE1002" s="51"/>
      <c r="KH1002" s="15"/>
      <c r="KI1002" s="15"/>
    </row>
    <row r="1003" spans="3:295">
      <c r="C1003" s="1"/>
      <c r="AE1003" s="51"/>
      <c r="AO1003" s="49"/>
      <c r="AQ1003" s="36"/>
      <c r="AR1003" s="36"/>
      <c r="AS1003" s="36"/>
      <c r="AT1003" s="36"/>
      <c r="AU1003" s="36"/>
      <c r="AV1003" s="36"/>
      <c r="AW1003" s="36"/>
      <c r="AX1003" s="36"/>
      <c r="AY1003" s="36"/>
      <c r="AZ1003" s="36"/>
      <c r="BA1003" s="36"/>
      <c r="GH1003" s="55"/>
      <c r="KD1003" s="15"/>
      <c r="KE1003" s="51"/>
      <c r="KH1003" s="15"/>
      <c r="KI1003" s="15"/>
    </row>
    <row r="1004" spans="3:295">
      <c r="C1004" s="1"/>
      <c r="AE1004" s="51"/>
      <c r="AO1004" s="49"/>
      <c r="AQ1004" s="36"/>
      <c r="AR1004" s="36"/>
      <c r="AS1004" s="36"/>
      <c r="AT1004" s="36"/>
      <c r="AU1004" s="36"/>
      <c r="AV1004" s="36"/>
      <c r="AW1004" s="36"/>
      <c r="AX1004" s="36"/>
      <c r="AY1004" s="36"/>
      <c r="AZ1004" s="36"/>
      <c r="BA1004" s="36"/>
      <c r="GH1004" s="55"/>
      <c r="KD1004" s="15"/>
      <c r="KE1004" s="51"/>
      <c r="KH1004" s="15"/>
      <c r="KI1004" s="15"/>
    </row>
    <row r="1005" spans="3:295">
      <c r="C1005" s="1"/>
      <c r="AE1005" s="51"/>
      <c r="AO1005" s="49"/>
      <c r="AQ1005" s="36"/>
      <c r="AR1005" s="36"/>
      <c r="AS1005" s="36"/>
      <c r="AT1005" s="36"/>
      <c r="AU1005" s="36"/>
      <c r="AV1005" s="36"/>
      <c r="AW1005" s="36"/>
      <c r="AX1005" s="36"/>
      <c r="AY1005" s="36"/>
      <c r="AZ1005" s="36"/>
      <c r="BA1005" s="36"/>
      <c r="GH1005" s="55"/>
      <c r="KD1005" s="15"/>
      <c r="KE1005" s="51"/>
      <c r="KH1005" s="15"/>
      <c r="KI1005" s="15"/>
    </row>
    <row r="1006" spans="3:295">
      <c r="C1006" s="1"/>
      <c r="AE1006" s="51"/>
      <c r="AO1006" s="49"/>
      <c r="AQ1006" s="36"/>
      <c r="AR1006" s="36"/>
      <c r="AS1006" s="36"/>
      <c r="AT1006" s="36"/>
      <c r="AU1006" s="36"/>
      <c r="AV1006" s="36"/>
      <c r="AW1006" s="36"/>
      <c r="AX1006" s="36"/>
      <c r="AY1006" s="36"/>
      <c r="AZ1006" s="36"/>
      <c r="BA1006" s="36"/>
      <c r="GH1006" s="55"/>
      <c r="KD1006" s="15"/>
      <c r="KE1006" s="51"/>
      <c r="KH1006" s="15"/>
      <c r="KI1006" s="15"/>
    </row>
    <row r="1007" spans="3:295">
      <c r="C1007" s="1"/>
      <c r="AE1007" s="51"/>
      <c r="AO1007" s="49"/>
      <c r="AQ1007" s="36"/>
      <c r="AR1007" s="36"/>
      <c r="AS1007" s="36"/>
      <c r="AT1007" s="36"/>
      <c r="AU1007" s="36"/>
      <c r="AV1007" s="36"/>
      <c r="AW1007" s="36"/>
      <c r="AX1007" s="36"/>
      <c r="AY1007" s="36"/>
      <c r="AZ1007" s="36"/>
      <c r="BA1007" s="36"/>
      <c r="GH1007" s="55"/>
      <c r="KD1007" s="15"/>
      <c r="KE1007" s="51"/>
      <c r="KH1007" s="15"/>
      <c r="KI1007" s="15"/>
    </row>
    <row r="1008" spans="3:295">
      <c r="C1008" s="1"/>
      <c r="AE1008" s="51"/>
      <c r="AO1008" s="49"/>
      <c r="AQ1008" s="36"/>
      <c r="AR1008" s="36"/>
      <c r="AS1008" s="36"/>
      <c r="AT1008" s="36"/>
      <c r="AU1008" s="36"/>
      <c r="AV1008" s="36"/>
      <c r="AW1008" s="36"/>
      <c r="AX1008" s="36"/>
      <c r="AY1008" s="36"/>
      <c r="AZ1008" s="36"/>
      <c r="BA1008" s="36"/>
      <c r="GH1008" s="55"/>
      <c r="KD1008" s="15"/>
      <c r="KE1008" s="51"/>
      <c r="KH1008" s="15"/>
      <c r="KI1008" s="15"/>
    </row>
    <row r="1009" spans="3:295">
      <c r="C1009" s="1"/>
      <c r="AE1009" s="51"/>
      <c r="AO1009" s="49"/>
      <c r="AQ1009" s="36"/>
      <c r="AR1009" s="36"/>
      <c r="AS1009" s="36"/>
      <c r="AT1009" s="36"/>
      <c r="AU1009" s="36"/>
      <c r="AV1009" s="36"/>
      <c r="AW1009" s="36"/>
      <c r="AX1009" s="36"/>
      <c r="AY1009" s="36"/>
      <c r="AZ1009" s="36"/>
      <c r="BA1009" s="36"/>
      <c r="GH1009" s="55"/>
      <c r="KD1009" s="15"/>
      <c r="KE1009" s="51"/>
      <c r="KH1009" s="15"/>
      <c r="KI1009" s="15"/>
    </row>
    <row r="1010" spans="3:295">
      <c r="C1010" s="1"/>
      <c r="AE1010" s="51"/>
      <c r="AO1010" s="49"/>
      <c r="AQ1010" s="36"/>
      <c r="AR1010" s="36"/>
      <c r="AS1010" s="36"/>
      <c r="AT1010" s="36"/>
      <c r="AU1010" s="36"/>
      <c r="AV1010" s="36"/>
      <c r="AW1010" s="36"/>
      <c r="AX1010" s="36"/>
      <c r="AY1010" s="36"/>
      <c r="AZ1010" s="36"/>
      <c r="BA1010" s="36"/>
      <c r="GH1010" s="55"/>
      <c r="KD1010" s="15"/>
      <c r="KE1010" s="51"/>
      <c r="KH1010" s="15"/>
      <c r="KI1010" s="15"/>
    </row>
    <row r="1011" spans="3:295">
      <c r="C1011" s="1"/>
      <c r="AE1011" s="51"/>
      <c r="AO1011" s="49"/>
      <c r="AQ1011" s="36"/>
      <c r="AR1011" s="36"/>
      <c r="AS1011" s="36"/>
      <c r="AT1011" s="36"/>
      <c r="AU1011" s="36"/>
      <c r="AV1011" s="36"/>
      <c r="AW1011" s="36"/>
      <c r="AX1011" s="36"/>
      <c r="AY1011" s="36"/>
      <c r="AZ1011" s="36"/>
      <c r="BA1011" s="36"/>
      <c r="GH1011" s="55"/>
      <c r="KD1011" s="15"/>
      <c r="KE1011" s="51"/>
      <c r="KH1011" s="15"/>
      <c r="KI1011" s="15"/>
    </row>
    <row r="1012" spans="3:295">
      <c r="C1012" s="1"/>
      <c r="AE1012" s="51"/>
      <c r="AO1012" s="49"/>
      <c r="AQ1012" s="36"/>
      <c r="AR1012" s="36"/>
      <c r="AS1012" s="36"/>
      <c r="AT1012" s="36"/>
      <c r="AU1012" s="36"/>
      <c r="AV1012" s="36"/>
      <c r="AW1012" s="36"/>
      <c r="AX1012" s="36"/>
      <c r="AY1012" s="36"/>
      <c r="AZ1012" s="36"/>
      <c r="BA1012" s="36"/>
      <c r="GH1012" s="55"/>
      <c r="KD1012" s="15"/>
      <c r="KE1012" s="51"/>
      <c r="KH1012" s="15"/>
      <c r="KI1012" s="15"/>
    </row>
    <row r="1013" spans="3:295">
      <c r="C1013" s="1"/>
      <c r="AE1013" s="51"/>
      <c r="AO1013" s="49"/>
      <c r="AQ1013" s="36"/>
      <c r="AR1013" s="36"/>
      <c r="AS1013" s="36"/>
      <c r="AT1013" s="36"/>
      <c r="AU1013" s="36"/>
      <c r="AV1013" s="36"/>
      <c r="AW1013" s="36"/>
      <c r="AX1013" s="36"/>
      <c r="AY1013" s="36"/>
      <c r="AZ1013" s="36"/>
      <c r="BA1013" s="36"/>
      <c r="GH1013" s="55"/>
      <c r="KD1013" s="15"/>
      <c r="KE1013" s="51"/>
      <c r="KH1013" s="15"/>
      <c r="KI1013" s="15"/>
    </row>
    <row r="1014" spans="3:295">
      <c r="C1014" s="1"/>
      <c r="AE1014" s="51"/>
      <c r="AO1014" s="49"/>
      <c r="AQ1014" s="36"/>
      <c r="AR1014" s="36"/>
      <c r="AS1014" s="36"/>
      <c r="AT1014" s="36"/>
      <c r="AU1014" s="36"/>
      <c r="AV1014" s="36"/>
      <c r="AW1014" s="36"/>
      <c r="AX1014" s="36"/>
      <c r="AY1014" s="36"/>
      <c r="AZ1014" s="36"/>
      <c r="BA1014" s="36"/>
      <c r="GH1014" s="55"/>
      <c r="KD1014" s="15"/>
      <c r="KE1014" s="51"/>
      <c r="KH1014" s="15"/>
      <c r="KI1014" s="15"/>
    </row>
    <row r="1015" spans="3:295">
      <c r="C1015" s="1"/>
      <c r="AE1015" s="51"/>
      <c r="AO1015" s="49"/>
      <c r="AQ1015" s="36"/>
      <c r="AR1015" s="36"/>
      <c r="AS1015" s="36"/>
      <c r="AT1015" s="36"/>
      <c r="AU1015" s="36"/>
      <c r="AV1015" s="36"/>
      <c r="AW1015" s="36"/>
      <c r="AX1015" s="36"/>
      <c r="AY1015" s="36"/>
      <c r="AZ1015" s="36"/>
      <c r="BA1015" s="36"/>
      <c r="GH1015" s="55"/>
      <c r="KD1015" s="15"/>
      <c r="KE1015" s="51"/>
      <c r="KH1015" s="15"/>
      <c r="KI1015" s="15"/>
    </row>
    <row r="1016" spans="3:295">
      <c r="C1016" s="1"/>
      <c r="AE1016" s="51"/>
      <c r="AO1016" s="49"/>
      <c r="AQ1016" s="36"/>
      <c r="AR1016" s="36"/>
      <c r="AS1016" s="36"/>
      <c r="AT1016" s="36"/>
      <c r="AU1016" s="36"/>
      <c r="AV1016" s="36"/>
      <c r="AW1016" s="36"/>
      <c r="AX1016" s="36"/>
      <c r="AY1016" s="36"/>
      <c r="AZ1016" s="36"/>
      <c r="BA1016" s="36"/>
      <c r="GH1016" s="55"/>
      <c r="KD1016" s="15"/>
      <c r="KE1016" s="51"/>
      <c r="KH1016" s="15"/>
      <c r="KI1016" s="15"/>
    </row>
    <row r="1017" spans="3:295">
      <c r="C1017" s="1"/>
      <c r="AE1017" s="51"/>
      <c r="AO1017" s="49"/>
      <c r="AQ1017" s="36"/>
      <c r="AR1017" s="36"/>
      <c r="AS1017" s="36"/>
      <c r="AT1017" s="36"/>
      <c r="AU1017" s="36"/>
      <c r="AV1017" s="36"/>
      <c r="AW1017" s="36"/>
      <c r="AX1017" s="36"/>
      <c r="AY1017" s="36"/>
      <c r="AZ1017" s="36"/>
      <c r="BA1017" s="36"/>
      <c r="GH1017" s="55"/>
      <c r="KD1017" s="15"/>
      <c r="KE1017" s="51"/>
      <c r="KH1017" s="15"/>
      <c r="KI1017" s="15"/>
    </row>
    <row r="1018" spans="3:295">
      <c r="C1018" s="1"/>
      <c r="AE1018" s="51"/>
      <c r="AO1018" s="49"/>
      <c r="AQ1018" s="36"/>
      <c r="AR1018" s="36"/>
      <c r="AS1018" s="36"/>
      <c r="AT1018" s="36"/>
      <c r="AU1018" s="36"/>
      <c r="AV1018" s="36"/>
      <c r="AW1018" s="36"/>
      <c r="AX1018" s="36"/>
      <c r="AY1018" s="36"/>
      <c r="AZ1018" s="36"/>
      <c r="BA1018" s="36"/>
      <c r="GH1018" s="55"/>
      <c r="KD1018" s="15"/>
      <c r="KE1018" s="51"/>
      <c r="KH1018" s="15"/>
      <c r="KI1018" s="15"/>
    </row>
    <row r="1019" spans="3:295">
      <c r="C1019" s="1"/>
      <c r="AE1019" s="51"/>
      <c r="AO1019" s="49"/>
      <c r="AQ1019" s="36"/>
      <c r="AR1019" s="36"/>
      <c r="AS1019" s="36"/>
      <c r="AT1019" s="36"/>
      <c r="AU1019" s="36"/>
      <c r="AV1019" s="36"/>
      <c r="AW1019" s="36"/>
      <c r="AX1019" s="36"/>
      <c r="AY1019" s="36"/>
      <c r="AZ1019" s="36"/>
      <c r="BA1019" s="36"/>
      <c r="GH1019" s="55"/>
      <c r="KD1019" s="15"/>
      <c r="KE1019" s="51"/>
      <c r="KH1019" s="15"/>
      <c r="KI1019" s="15"/>
    </row>
    <row r="1020" spans="3:295">
      <c r="C1020" s="1"/>
      <c r="AE1020" s="51"/>
      <c r="AO1020" s="49"/>
      <c r="AQ1020" s="36"/>
      <c r="AR1020" s="36"/>
      <c r="AS1020" s="36"/>
      <c r="AT1020" s="36"/>
      <c r="AU1020" s="36"/>
      <c r="AV1020" s="36"/>
      <c r="AW1020" s="36"/>
      <c r="AX1020" s="36"/>
      <c r="AY1020" s="36"/>
      <c r="AZ1020" s="36"/>
      <c r="BA1020" s="36"/>
      <c r="GH1020" s="55"/>
      <c r="KD1020" s="15"/>
      <c r="KE1020" s="51"/>
      <c r="KH1020" s="15"/>
      <c r="KI1020" s="15"/>
    </row>
    <row r="1021" spans="3:295">
      <c r="C1021" s="1"/>
      <c r="AE1021" s="51"/>
      <c r="AO1021" s="49"/>
      <c r="AQ1021" s="36"/>
      <c r="AR1021" s="36"/>
      <c r="AS1021" s="36"/>
      <c r="AT1021" s="36"/>
      <c r="AU1021" s="36"/>
      <c r="AV1021" s="36"/>
      <c r="AW1021" s="36"/>
      <c r="AX1021" s="36"/>
      <c r="AY1021" s="36"/>
      <c r="AZ1021" s="36"/>
      <c r="BA1021" s="36"/>
      <c r="GH1021" s="55"/>
      <c r="KD1021" s="15"/>
      <c r="KE1021" s="51"/>
      <c r="KH1021" s="15"/>
      <c r="KI1021" s="15"/>
    </row>
    <row r="1022" spans="3:295">
      <c r="C1022" s="1"/>
      <c r="AE1022" s="51"/>
      <c r="AO1022" s="49"/>
      <c r="AQ1022" s="36"/>
      <c r="AR1022" s="36"/>
      <c r="AS1022" s="36"/>
      <c r="AT1022" s="36"/>
      <c r="AU1022" s="36"/>
      <c r="AV1022" s="36"/>
      <c r="AW1022" s="36"/>
      <c r="AX1022" s="36"/>
      <c r="AY1022" s="36"/>
      <c r="AZ1022" s="36"/>
      <c r="BA1022" s="36"/>
      <c r="GH1022" s="55"/>
      <c r="KD1022" s="15"/>
      <c r="KE1022" s="51"/>
      <c r="KH1022" s="15"/>
      <c r="KI1022" s="15"/>
    </row>
    <row r="1023" spans="3:295">
      <c r="C1023" s="1"/>
      <c r="AE1023" s="51"/>
      <c r="AO1023" s="49"/>
      <c r="AQ1023" s="36"/>
      <c r="AR1023" s="36"/>
      <c r="AS1023" s="36"/>
      <c r="AT1023" s="36"/>
      <c r="AU1023" s="36"/>
      <c r="AV1023" s="36"/>
      <c r="AW1023" s="36"/>
      <c r="AX1023" s="36"/>
      <c r="AY1023" s="36"/>
      <c r="AZ1023" s="36"/>
      <c r="BA1023" s="36"/>
      <c r="GH1023" s="55"/>
      <c r="KD1023" s="15"/>
      <c r="KE1023" s="51"/>
      <c r="KH1023" s="15"/>
      <c r="KI1023" s="15"/>
    </row>
    <row r="1024" spans="3:295">
      <c r="C1024" s="1"/>
      <c r="AE1024" s="51"/>
      <c r="AO1024" s="49"/>
      <c r="AQ1024" s="36"/>
      <c r="AR1024" s="36"/>
      <c r="AS1024" s="36"/>
      <c r="AT1024" s="36"/>
      <c r="AU1024" s="36"/>
      <c r="AV1024" s="36"/>
      <c r="AW1024" s="36"/>
      <c r="AX1024" s="36"/>
      <c r="AY1024" s="36"/>
      <c r="AZ1024" s="36"/>
      <c r="BA1024" s="36"/>
      <c r="GH1024" s="55"/>
      <c r="KD1024" s="15"/>
      <c r="KE1024" s="51"/>
      <c r="KH1024" s="15"/>
      <c r="KI1024" s="15"/>
    </row>
    <row r="1025" spans="3:295">
      <c r="C1025" s="1"/>
      <c r="AE1025" s="51"/>
      <c r="AO1025" s="49"/>
      <c r="AQ1025" s="36"/>
      <c r="AR1025" s="36"/>
      <c r="AS1025" s="36"/>
      <c r="AT1025" s="36"/>
      <c r="AU1025" s="36"/>
      <c r="AV1025" s="36"/>
      <c r="AW1025" s="36"/>
      <c r="AX1025" s="36"/>
      <c r="AY1025" s="36"/>
      <c r="AZ1025" s="36"/>
      <c r="BA1025" s="36"/>
      <c r="GH1025" s="55"/>
      <c r="KD1025" s="15"/>
      <c r="KE1025" s="51"/>
      <c r="KH1025" s="15"/>
      <c r="KI1025" s="15"/>
    </row>
    <row r="1026" spans="3:295">
      <c r="C1026" s="1"/>
      <c r="AE1026" s="51"/>
      <c r="AO1026" s="49"/>
      <c r="AQ1026" s="36"/>
      <c r="AR1026" s="36"/>
      <c r="AS1026" s="36"/>
      <c r="AT1026" s="36"/>
      <c r="AU1026" s="36"/>
      <c r="AV1026" s="36"/>
      <c r="AW1026" s="36"/>
      <c r="AX1026" s="36"/>
      <c r="AY1026" s="36"/>
      <c r="AZ1026" s="36"/>
      <c r="BA1026" s="36"/>
      <c r="GH1026" s="55"/>
      <c r="KD1026" s="15"/>
      <c r="KE1026" s="51"/>
      <c r="KH1026" s="15"/>
      <c r="KI1026" s="15"/>
    </row>
    <row r="1027" spans="3:295">
      <c r="C1027" s="1"/>
      <c r="AE1027" s="51"/>
      <c r="AO1027" s="49"/>
      <c r="AQ1027" s="36"/>
      <c r="AR1027" s="36"/>
      <c r="AS1027" s="36"/>
      <c r="AT1027" s="36"/>
      <c r="AU1027" s="36"/>
      <c r="AV1027" s="36"/>
      <c r="AW1027" s="36"/>
      <c r="AX1027" s="36"/>
      <c r="AY1027" s="36"/>
      <c r="AZ1027" s="36"/>
      <c r="BA1027" s="36"/>
      <c r="GH1027" s="55"/>
      <c r="KD1027" s="15"/>
      <c r="KE1027" s="51"/>
      <c r="KH1027" s="15"/>
      <c r="KI1027" s="15"/>
    </row>
    <row r="1028" spans="3:295">
      <c r="C1028" s="1"/>
      <c r="AE1028" s="51"/>
      <c r="AO1028" s="49"/>
      <c r="AQ1028" s="36"/>
      <c r="AR1028" s="36"/>
      <c r="AS1028" s="36"/>
      <c r="AT1028" s="36"/>
      <c r="AU1028" s="36"/>
      <c r="AV1028" s="36"/>
      <c r="AW1028" s="36"/>
      <c r="AX1028" s="36"/>
      <c r="AY1028" s="36"/>
      <c r="AZ1028" s="36"/>
      <c r="BA1028" s="36"/>
      <c r="GH1028" s="55"/>
      <c r="KD1028" s="15"/>
      <c r="KE1028" s="51"/>
      <c r="KH1028" s="15"/>
      <c r="KI1028" s="15"/>
    </row>
    <row r="1029" spans="3:295">
      <c r="C1029" s="1"/>
      <c r="AE1029" s="51"/>
      <c r="AO1029" s="49"/>
      <c r="AQ1029" s="36"/>
      <c r="AR1029" s="36"/>
      <c r="AS1029" s="36"/>
      <c r="AT1029" s="36"/>
      <c r="AU1029" s="36"/>
      <c r="AV1029" s="36"/>
      <c r="AW1029" s="36"/>
      <c r="AX1029" s="36"/>
      <c r="AY1029" s="36"/>
      <c r="AZ1029" s="36"/>
      <c r="BA1029" s="36"/>
      <c r="GH1029" s="55"/>
      <c r="KD1029" s="15"/>
      <c r="KE1029" s="51"/>
      <c r="KH1029" s="15"/>
      <c r="KI1029" s="15"/>
    </row>
    <row r="1030" spans="3:295">
      <c r="C1030" s="1"/>
      <c r="AE1030" s="51"/>
      <c r="AO1030" s="49"/>
      <c r="AQ1030" s="36"/>
      <c r="AR1030" s="36"/>
      <c r="AS1030" s="36"/>
      <c r="AT1030" s="36"/>
      <c r="AU1030" s="36"/>
      <c r="AV1030" s="36"/>
      <c r="AW1030" s="36"/>
      <c r="AX1030" s="36"/>
      <c r="AY1030" s="36"/>
      <c r="AZ1030" s="36"/>
      <c r="BA1030" s="36"/>
      <c r="GH1030" s="55"/>
      <c r="KD1030" s="15"/>
      <c r="KE1030" s="51"/>
      <c r="KH1030" s="15"/>
      <c r="KI1030" s="15"/>
    </row>
    <row r="1031" spans="3:295">
      <c r="C1031" s="1"/>
      <c r="AE1031" s="51"/>
      <c r="AO1031" s="49"/>
      <c r="AQ1031" s="36"/>
      <c r="AR1031" s="36"/>
      <c r="AS1031" s="36"/>
      <c r="AT1031" s="36"/>
      <c r="AU1031" s="36"/>
      <c r="AV1031" s="36"/>
      <c r="AW1031" s="36"/>
      <c r="AX1031" s="36"/>
      <c r="AY1031" s="36"/>
      <c r="AZ1031" s="36"/>
      <c r="BA1031" s="36"/>
      <c r="GH1031" s="55"/>
      <c r="KD1031" s="15"/>
      <c r="KE1031" s="51"/>
      <c r="KH1031" s="15"/>
      <c r="KI1031" s="15"/>
    </row>
    <row r="1032" spans="3:295">
      <c r="C1032" s="1"/>
      <c r="AE1032" s="51"/>
      <c r="AO1032" s="49"/>
      <c r="AQ1032" s="36"/>
      <c r="AR1032" s="36"/>
      <c r="AS1032" s="36"/>
      <c r="AT1032" s="36"/>
      <c r="AU1032" s="36"/>
      <c r="AV1032" s="36"/>
      <c r="AW1032" s="36"/>
      <c r="AX1032" s="36"/>
      <c r="AY1032" s="36"/>
      <c r="AZ1032" s="36"/>
      <c r="BA1032" s="36"/>
      <c r="GH1032" s="55"/>
      <c r="KD1032" s="15"/>
      <c r="KE1032" s="51"/>
      <c r="KH1032" s="15"/>
      <c r="KI1032" s="15"/>
    </row>
    <row r="1033" spans="3:295">
      <c r="C1033" s="1"/>
      <c r="AE1033" s="51"/>
      <c r="AO1033" s="49"/>
      <c r="AQ1033" s="36"/>
      <c r="AR1033" s="36"/>
      <c r="AS1033" s="36"/>
      <c r="AT1033" s="36"/>
      <c r="AU1033" s="36"/>
      <c r="AV1033" s="36"/>
      <c r="AW1033" s="36"/>
      <c r="AX1033" s="36"/>
      <c r="AY1033" s="36"/>
      <c r="AZ1033" s="36"/>
      <c r="BA1033" s="36"/>
      <c r="GH1033" s="55"/>
      <c r="KD1033" s="15"/>
      <c r="KE1033" s="51"/>
      <c r="KH1033" s="15"/>
      <c r="KI1033" s="15"/>
    </row>
    <row r="1034" spans="3:295">
      <c r="C1034" s="1"/>
      <c r="AE1034" s="51"/>
      <c r="AO1034" s="49"/>
      <c r="AQ1034" s="36"/>
      <c r="AR1034" s="36"/>
      <c r="AS1034" s="36"/>
      <c r="AT1034" s="36"/>
      <c r="AU1034" s="36"/>
      <c r="AV1034" s="36"/>
      <c r="AW1034" s="36"/>
      <c r="AX1034" s="36"/>
      <c r="AY1034" s="36"/>
      <c r="AZ1034" s="36"/>
      <c r="BA1034" s="36"/>
      <c r="GH1034" s="55"/>
      <c r="KD1034" s="15"/>
      <c r="KE1034" s="51"/>
      <c r="KH1034" s="15"/>
      <c r="KI1034" s="15"/>
    </row>
    <row r="1035" spans="3:295">
      <c r="C1035" s="1"/>
      <c r="AE1035" s="51"/>
      <c r="AO1035" s="49"/>
      <c r="AQ1035" s="36"/>
      <c r="AR1035" s="36"/>
      <c r="AS1035" s="36"/>
      <c r="AT1035" s="36"/>
      <c r="AU1035" s="36"/>
      <c r="AV1035" s="36"/>
      <c r="AW1035" s="36"/>
      <c r="AX1035" s="36"/>
      <c r="AY1035" s="36"/>
      <c r="AZ1035" s="36"/>
      <c r="BA1035" s="36"/>
      <c r="GH1035" s="55"/>
      <c r="KD1035" s="15"/>
      <c r="KE1035" s="51"/>
      <c r="KH1035" s="15"/>
      <c r="KI1035" s="15"/>
    </row>
    <row r="1036" spans="3:295">
      <c r="C1036" s="1"/>
      <c r="AE1036" s="51"/>
      <c r="AO1036" s="49"/>
      <c r="AQ1036" s="36"/>
      <c r="AR1036" s="36"/>
      <c r="AS1036" s="36"/>
      <c r="AT1036" s="36"/>
      <c r="AU1036" s="36"/>
      <c r="AV1036" s="36"/>
      <c r="AW1036" s="36"/>
      <c r="AX1036" s="36"/>
      <c r="AY1036" s="36"/>
      <c r="AZ1036" s="36"/>
      <c r="BA1036" s="36"/>
      <c r="GH1036" s="55"/>
      <c r="KD1036" s="15"/>
      <c r="KE1036" s="51"/>
      <c r="KH1036" s="15"/>
      <c r="KI1036" s="15"/>
    </row>
    <row r="1037" spans="3:295">
      <c r="C1037" s="1"/>
      <c r="AE1037" s="51"/>
      <c r="AO1037" s="49"/>
      <c r="AQ1037" s="36"/>
      <c r="AR1037" s="36"/>
      <c r="AS1037" s="36"/>
      <c r="AT1037" s="36"/>
      <c r="AU1037" s="36"/>
      <c r="AV1037" s="36"/>
      <c r="AW1037" s="36"/>
      <c r="AX1037" s="36"/>
      <c r="AY1037" s="36"/>
      <c r="AZ1037" s="36"/>
      <c r="BA1037" s="36"/>
      <c r="GH1037" s="55"/>
      <c r="KD1037" s="15"/>
      <c r="KE1037" s="51"/>
      <c r="KH1037" s="15"/>
      <c r="KI1037" s="15"/>
    </row>
    <row r="1038" spans="3:295">
      <c r="C1038" s="1"/>
      <c r="AE1038" s="51"/>
      <c r="AO1038" s="49"/>
      <c r="AQ1038" s="36"/>
      <c r="AR1038" s="36"/>
      <c r="AS1038" s="36"/>
      <c r="AT1038" s="36"/>
      <c r="AU1038" s="36"/>
      <c r="AV1038" s="36"/>
      <c r="AW1038" s="36"/>
      <c r="AX1038" s="36"/>
      <c r="AY1038" s="36"/>
      <c r="AZ1038" s="36"/>
      <c r="BA1038" s="36"/>
      <c r="GH1038" s="55"/>
      <c r="KD1038" s="15"/>
      <c r="KE1038" s="51"/>
      <c r="KH1038" s="15"/>
      <c r="KI1038" s="15"/>
    </row>
    <row r="1039" spans="3:295">
      <c r="C1039" s="1"/>
      <c r="AE1039" s="51"/>
      <c r="AO1039" s="49"/>
      <c r="AQ1039" s="36"/>
      <c r="AR1039" s="36"/>
      <c r="AS1039" s="36"/>
      <c r="AT1039" s="36"/>
      <c r="AU1039" s="36"/>
      <c r="AV1039" s="36"/>
      <c r="AW1039" s="36"/>
      <c r="AX1039" s="36"/>
      <c r="AY1039" s="36"/>
      <c r="AZ1039" s="36"/>
      <c r="BA1039" s="36"/>
      <c r="GH1039" s="55"/>
      <c r="KD1039" s="15"/>
      <c r="KE1039" s="51"/>
      <c r="KH1039" s="15"/>
      <c r="KI1039" s="15"/>
    </row>
    <row r="1040" spans="3:295">
      <c r="C1040" s="1"/>
      <c r="AE1040" s="51"/>
      <c r="AO1040" s="49"/>
      <c r="AQ1040" s="36"/>
      <c r="AR1040" s="36"/>
      <c r="AS1040" s="36"/>
      <c r="AT1040" s="36"/>
      <c r="AU1040" s="36"/>
      <c r="AV1040" s="36"/>
      <c r="AW1040" s="36"/>
      <c r="AX1040" s="36"/>
      <c r="AY1040" s="36"/>
      <c r="AZ1040" s="36"/>
      <c r="BA1040" s="36"/>
      <c r="GH1040" s="55"/>
      <c r="KD1040" s="15"/>
      <c r="KE1040" s="51"/>
      <c r="KH1040" s="15"/>
      <c r="KI1040" s="15"/>
    </row>
    <row r="1041" spans="3:295">
      <c r="C1041" s="1"/>
      <c r="AE1041" s="51"/>
      <c r="AO1041" s="49"/>
      <c r="AQ1041" s="36"/>
      <c r="AR1041" s="36"/>
      <c r="AS1041" s="36"/>
      <c r="AT1041" s="36"/>
      <c r="AU1041" s="36"/>
      <c r="AV1041" s="36"/>
      <c r="AW1041" s="36"/>
      <c r="AX1041" s="36"/>
      <c r="AY1041" s="36"/>
      <c r="AZ1041" s="36"/>
      <c r="BA1041" s="36"/>
      <c r="GH1041" s="55"/>
      <c r="KD1041" s="15"/>
      <c r="KE1041" s="51"/>
      <c r="KH1041" s="15"/>
      <c r="KI1041" s="15"/>
    </row>
    <row r="1042" spans="3:295">
      <c r="C1042" s="1"/>
      <c r="AE1042" s="51"/>
      <c r="AO1042" s="49"/>
      <c r="AQ1042" s="36"/>
      <c r="AR1042" s="36"/>
      <c r="AS1042" s="36"/>
      <c r="AT1042" s="36"/>
      <c r="AU1042" s="36"/>
      <c r="AV1042" s="36"/>
      <c r="AW1042" s="36"/>
      <c r="AX1042" s="36"/>
      <c r="AY1042" s="36"/>
      <c r="AZ1042" s="36"/>
      <c r="BA1042" s="36"/>
      <c r="GH1042" s="55"/>
      <c r="KD1042" s="15"/>
      <c r="KE1042" s="51"/>
      <c r="KH1042" s="15"/>
      <c r="KI1042" s="15"/>
    </row>
    <row r="1043" spans="3:295">
      <c r="C1043" s="1"/>
      <c r="AE1043" s="51"/>
      <c r="AO1043" s="49"/>
      <c r="AQ1043" s="36"/>
      <c r="AR1043" s="36"/>
      <c r="AS1043" s="36"/>
      <c r="AT1043" s="36"/>
      <c r="AU1043" s="36"/>
      <c r="AV1043" s="36"/>
      <c r="AW1043" s="36"/>
      <c r="AX1043" s="36"/>
      <c r="AY1043" s="36"/>
      <c r="AZ1043" s="36"/>
      <c r="BA1043" s="36"/>
      <c r="GH1043" s="55"/>
      <c r="KD1043" s="15"/>
      <c r="KE1043" s="51"/>
      <c r="KH1043" s="15"/>
      <c r="KI1043" s="15"/>
    </row>
    <row r="1044" spans="3:295">
      <c r="C1044" s="1"/>
      <c r="AE1044" s="51"/>
      <c r="AO1044" s="49"/>
      <c r="AQ1044" s="36"/>
      <c r="AR1044" s="36"/>
      <c r="AS1044" s="36"/>
      <c r="AT1044" s="36"/>
      <c r="AU1044" s="36"/>
      <c r="AV1044" s="36"/>
      <c r="AW1044" s="36"/>
      <c r="AX1044" s="36"/>
      <c r="AY1044" s="36"/>
      <c r="AZ1044" s="36"/>
      <c r="BA1044" s="36"/>
      <c r="GH1044" s="55"/>
      <c r="KD1044" s="15"/>
      <c r="KE1044" s="51"/>
      <c r="KH1044" s="15"/>
      <c r="KI1044" s="15"/>
    </row>
    <row r="1045" spans="3:295">
      <c r="C1045" s="1"/>
      <c r="AE1045" s="51"/>
      <c r="AO1045" s="49"/>
      <c r="AQ1045" s="36"/>
      <c r="AR1045" s="36"/>
      <c r="AS1045" s="36"/>
      <c r="AT1045" s="36"/>
      <c r="AU1045" s="36"/>
      <c r="AV1045" s="36"/>
      <c r="AW1045" s="36"/>
      <c r="AX1045" s="36"/>
      <c r="AY1045" s="36"/>
      <c r="AZ1045" s="36"/>
      <c r="BA1045" s="36"/>
      <c r="GH1045" s="55"/>
      <c r="KD1045" s="15"/>
      <c r="KE1045" s="51"/>
      <c r="KH1045" s="15"/>
      <c r="KI1045" s="15"/>
    </row>
    <row r="1046" spans="3:295">
      <c r="C1046" s="1"/>
      <c r="AE1046" s="51"/>
      <c r="AO1046" s="49"/>
      <c r="AQ1046" s="36"/>
      <c r="AR1046" s="36"/>
      <c r="AS1046" s="36"/>
      <c r="AT1046" s="36"/>
      <c r="AU1046" s="36"/>
      <c r="AV1046" s="36"/>
      <c r="AW1046" s="36"/>
      <c r="AX1046" s="36"/>
      <c r="AY1046" s="36"/>
      <c r="AZ1046" s="36"/>
      <c r="BA1046" s="36"/>
      <c r="GH1046" s="55"/>
      <c r="KD1046" s="15"/>
      <c r="KE1046" s="51"/>
      <c r="KH1046" s="15"/>
      <c r="KI1046" s="15"/>
    </row>
    <row r="1047" spans="3:295">
      <c r="C1047" s="1"/>
      <c r="AE1047" s="51"/>
      <c r="AO1047" s="49"/>
      <c r="AQ1047" s="36"/>
      <c r="AR1047" s="36"/>
      <c r="AS1047" s="36"/>
      <c r="AT1047" s="36"/>
      <c r="AU1047" s="36"/>
      <c r="AV1047" s="36"/>
      <c r="AW1047" s="36"/>
      <c r="AX1047" s="36"/>
      <c r="AY1047" s="36"/>
      <c r="AZ1047" s="36"/>
      <c r="BA1047" s="36"/>
      <c r="GH1047" s="55"/>
      <c r="KD1047" s="15"/>
      <c r="KE1047" s="51"/>
      <c r="KH1047" s="15"/>
      <c r="KI1047" s="15"/>
    </row>
    <row r="1048" spans="3:295">
      <c r="C1048" s="1"/>
      <c r="AE1048" s="51"/>
      <c r="AO1048" s="49"/>
      <c r="AQ1048" s="36"/>
      <c r="AR1048" s="36"/>
      <c r="AS1048" s="36"/>
      <c r="AT1048" s="36"/>
      <c r="AU1048" s="36"/>
      <c r="AV1048" s="36"/>
      <c r="AW1048" s="36"/>
      <c r="AX1048" s="36"/>
      <c r="AY1048" s="36"/>
      <c r="AZ1048" s="36"/>
      <c r="BA1048" s="36"/>
      <c r="GH1048" s="55"/>
      <c r="KD1048" s="15"/>
      <c r="KE1048" s="51"/>
      <c r="KH1048" s="15"/>
      <c r="KI1048" s="15"/>
    </row>
    <row r="1049" spans="3:295">
      <c r="C1049" s="1"/>
      <c r="AE1049" s="51"/>
      <c r="AO1049" s="49"/>
      <c r="AQ1049" s="36"/>
      <c r="AR1049" s="36"/>
      <c r="AS1049" s="36"/>
      <c r="AT1049" s="36"/>
      <c r="AU1049" s="36"/>
      <c r="AV1049" s="36"/>
      <c r="AW1049" s="36"/>
      <c r="AX1049" s="36"/>
      <c r="AY1049" s="36"/>
      <c r="AZ1049" s="36"/>
      <c r="BA1049" s="36"/>
      <c r="GH1049" s="55"/>
      <c r="KD1049" s="15"/>
      <c r="KE1049" s="51"/>
      <c r="KH1049" s="15"/>
      <c r="KI1049" s="15"/>
    </row>
    <row r="1050" spans="3:295">
      <c r="C1050" s="1"/>
      <c r="AE1050" s="51"/>
      <c r="AO1050" s="49"/>
      <c r="AQ1050" s="36"/>
      <c r="AR1050" s="36"/>
      <c r="AS1050" s="36"/>
      <c r="AT1050" s="36"/>
      <c r="AU1050" s="36"/>
      <c r="AV1050" s="36"/>
      <c r="AW1050" s="36"/>
      <c r="AX1050" s="36"/>
      <c r="AY1050" s="36"/>
      <c r="AZ1050" s="36"/>
      <c r="BA1050" s="36"/>
      <c r="GH1050" s="55"/>
      <c r="KD1050" s="15"/>
      <c r="KE1050" s="51"/>
      <c r="KH1050" s="15"/>
      <c r="KI1050" s="15"/>
    </row>
    <row r="1051" spans="3:295">
      <c r="C1051" s="1"/>
      <c r="AE1051" s="51"/>
      <c r="AO1051" s="49"/>
      <c r="AQ1051" s="36"/>
      <c r="AR1051" s="36"/>
      <c r="AS1051" s="36"/>
      <c r="AT1051" s="36"/>
      <c r="AU1051" s="36"/>
      <c r="AV1051" s="36"/>
      <c r="AW1051" s="36"/>
      <c r="AX1051" s="36"/>
      <c r="AY1051" s="36"/>
      <c r="AZ1051" s="36"/>
      <c r="BA1051" s="36"/>
      <c r="GH1051" s="55"/>
      <c r="KD1051" s="15"/>
      <c r="KE1051" s="51"/>
      <c r="KH1051" s="15"/>
      <c r="KI1051" s="15"/>
    </row>
    <row r="1052" spans="3:295">
      <c r="C1052" s="1"/>
      <c r="AE1052" s="51"/>
      <c r="AO1052" s="49"/>
      <c r="AQ1052" s="36"/>
      <c r="AR1052" s="36"/>
      <c r="AS1052" s="36"/>
      <c r="AT1052" s="36"/>
      <c r="AU1052" s="36"/>
      <c r="AV1052" s="36"/>
      <c r="AW1052" s="36"/>
      <c r="AX1052" s="36"/>
      <c r="AY1052" s="36"/>
      <c r="AZ1052" s="36"/>
      <c r="BA1052" s="36"/>
      <c r="GH1052" s="55"/>
      <c r="KD1052" s="15"/>
      <c r="KE1052" s="51"/>
      <c r="KH1052" s="15"/>
      <c r="KI1052" s="15"/>
    </row>
    <row r="1053" spans="3:295">
      <c r="C1053" s="1"/>
      <c r="AE1053" s="51"/>
      <c r="AO1053" s="49"/>
      <c r="AQ1053" s="36"/>
      <c r="AR1053" s="36"/>
      <c r="AS1053" s="36"/>
      <c r="AT1053" s="36"/>
      <c r="AU1053" s="36"/>
      <c r="AV1053" s="36"/>
      <c r="AW1053" s="36"/>
      <c r="AX1053" s="36"/>
      <c r="AY1053" s="36"/>
      <c r="AZ1053" s="36"/>
      <c r="BA1053" s="36"/>
      <c r="GH1053" s="55"/>
      <c r="KD1053" s="15"/>
      <c r="KE1053" s="51"/>
      <c r="KH1053" s="15"/>
      <c r="KI1053" s="15"/>
    </row>
    <row r="1054" spans="3:295">
      <c r="C1054" s="1"/>
      <c r="AE1054" s="51"/>
      <c r="AO1054" s="49"/>
      <c r="AQ1054" s="36"/>
      <c r="AR1054" s="36"/>
      <c r="AS1054" s="36"/>
      <c r="AT1054" s="36"/>
      <c r="AU1054" s="36"/>
      <c r="AV1054" s="36"/>
      <c r="AW1054" s="36"/>
      <c r="AX1054" s="36"/>
      <c r="AY1054" s="36"/>
      <c r="AZ1054" s="36"/>
      <c r="BA1054" s="36"/>
      <c r="GH1054" s="55"/>
      <c r="KD1054" s="15"/>
      <c r="KE1054" s="51"/>
      <c r="KH1054" s="15"/>
      <c r="KI1054" s="15"/>
    </row>
    <row r="1055" spans="3:295">
      <c r="C1055" s="1"/>
      <c r="AE1055" s="51"/>
      <c r="AO1055" s="49"/>
      <c r="AQ1055" s="36"/>
      <c r="AR1055" s="36"/>
      <c r="AS1055" s="36"/>
      <c r="AT1055" s="36"/>
      <c r="AU1055" s="36"/>
      <c r="AV1055" s="36"/>
      <c r="AW1055" s="36"/>
      <c r="AX1055" s="36"/>
      <c r="AY1055" s="36"/>
      <c r="AZ1055" s="36"/>
      <c r="BA1055" s="36"/>
      <c r="GH1055" s="55"/>
      <c r="KD1055" s="15"/>
      <c r="KE1055" s="51"/>
      <c r="KH1055" s="15"/>
      <c r="KI1055" s="15"/>
    </row>
    <row r="1056" spans="3:295">
      <c r="C1056" s="1"/>
      <c r="AE1056" s="51"/>
      <c r="AO1056" s="49"/>
      <c r="AQ1056" s="36"/>
      <c r="AR1056" s="36"/>
      <c r="AS1056" s="36"/>
      <c r="AT1056" s="36"/>
      <c r="AU1056" s="36"/>
      <c r="AV1056" s="36"/>
      <c r="AW1056" s="36"/>
      <c r="AX1056" s="36"/>
      <c r="AY1056" s="36"/>
      <c r="AZ1056" s="36"/>
      <c r="BA1056" s="36"/>
      <c r="GH1056" s="55"/>
      <c r="KD1056" s="15"/>
      <c r="KE1056" s="51"/>
      <c r="KH1056" s="15"/>
      <c r="KI1056" s="15"/>
    </row>
    <row r="1057" spans="3:295">
      <c r="C1057" s="1"/>
      <c r="AE1057" s="51"/>
      <c r="AO1057" s="49"/>
      <c r="AQ1057" s="36"/>
      <c r="AR1057" s="36"/>
      <c r="AS1057" s="36"/>
      <c r="AT1057" s="36"/>
      <c r="AU1057" s="36"/>
      <c r="AV1057" s="36"/>
      <c r="AW1057" s="36"/>
      <c r="AX1057" s="36"/>
      <c r="AY1057" s="36"/>
      <c r="AZ1057" s="36"/>
      <c r="BA1057" s="36"/>
      <c r="GH1057" s="55"/>
      <c r="KD1057" s="15"/>
      <c r="KE1057" s="51"/>
      <c r="KH1057" s="15"/>
      <c r="KI1057" s="15"/>
    </row>
    <row r="1058" spans="3:295">
      <c r="C1058" s="1"/>
      <c r="AE1058" s="51"/>
      <c r="AO1058" s="49"/>
      <c r="AQ1058" s="36"/>
      <c r="AR1058" s="36"/>
      <c r="AS1058" s="36"/>
      <c r="AT1058" s="36"/>
      <c r="AU1058" s="36"/>
      <c r="AV1058" s="36"/>
      <c r="AW1058" s="36"/>
      <c r="AX1058" s="36"/>
      <c r="AY1058" s="36"/>
      <c r="AZ1058" s="36"/>
      <c r="BA1058" s="36"/>
      <c r="GH1058" s="55"/>
      <c r="KD1058" s="15"/>
      <c r="KE1058" s="51"/>
      <c r="KH1058" s="15"/>
      <c r="KI1058" s="15"/>
    </row>
    <row r="1059" spans="3:295">
      <c r="C1059" s="1"/>
      <c r="AE1059" s="51"/>
      <c r="AO1059" s="49"/>
      <c r="AQ1059" s="36"/>
      <c r="AR1059" s="36"/>
      <c r="AS1059" s="36"/>
      <c r="AT1059" s="36"/>
      <c r="AU1059" s="36"/>
      <c r="AV1059" s="36"/>
      <c r="AW1059" s="36"/>
      <c r="AX1059" s="36"/>
      <c r="AY1059" s="36"/>
      <c r="AZ1059" s="36"/>
      <c r="BA1059" s="36"/>
      <c r="GH1059" s="55"/>
      <c r="KD1059" s="15"/>
      <c r="KE1059" s="51"/>
      <c r="KH1059" s="15"/>
      <c r="KI1059" s="15"/>
    </row>
    <row r="1060" spans="3:295">
      <c r="C1060" s="1"/>
      <c r="AE1060" s="51"/>
      <c r="AO1060" s="49"/>
      <c r="AQ1060" s="36"/>
      <c r="AR1060" s="36"/>
      <c r="AS1060" s="36"/>
      <c r="AT1060" s="36"/>
      <c r="AU1060" s="36"/>
      <c r="AV1060" s="36"/>
      <c r="AW1060" s="36"/>
      <c r="AX1060" s="36"/>
      <c r="AY1060" s="36"/>
      <c r="AZ1060" s="36"/>
      <c r="BA1060" s="36"/>
      <c r="GH1060" s="55"/>
      <c r="KD1060" s="15"/>
      <c r="KE1060" s="51"/>
      <c r="KH1060" s="15"/>
      <c r="KI1060" s="15"/>
    </row>
    <row r="1061" spans="3:295">
      <c r="C1061" s="1"/>
      <c r="AE1061" s="51"/>
      <c r="AO1061" s="49"/>
      <c r="AQ1061" s="36"/>
      <c r="AR1061" s="36"/>
      <c r="AS1061" s="36"/>
      <c r="AT1061" s="36"/>
      <c r="AU1061" s="36"/>
      <c r="AV1061" s="36"/>
      <c r="AW1061" s="36"/>
      <c r="AX1061" s="36"/>
      <c r="AY1061" s="36"/>
      <c r="AZ1061" s="36"/>
      <c r="BA1061" s="36"/>
      <c r="GH1061" s="55"/>
      <c r="KD1061" s="15"/>
      <c r="KE1061" s="51"/>
      <c r="KH1061" s="15"/>
      <c r="KI1061" s="15"/>
    </row>
    <row r="1062" spans="3:295">
      <c r="C1062" s="1"/>
      <c r="AE1062" s="51"/>
      <c r="AO1062" s="49"/>
      <c r="AQ1062" s="36"/>
      <c r="AR1062" s="36"/>
      <c r="AS1062" s="36"/>
      <c r="AT1062" s="36"/>
      <c r="AU1062" s="36"/>
      <c r="AV1062" s="36"/>
      <c r="AW1062" s="36"/>
      <c r="AX1062" s="36"/>
      <c r="AY1062" s="36"/>
      <c r="AZ1062" s="36"/>
      <c r="BA1062" s="36"/>
      <c r="GH1062" s="55"/>
      <c r="KD1062" s="15"/>
      <c r="KE1062" s="51"/>
      <c r="KH1062" s="15"/>
      <c r="KI1062" s="15"/>
    </row>
    <row r="1063" spans="3:295">
      <c r="C1063" s="1"/>
      <c r="AE1063" s="51"/>
      <c r="AO1063" s="49"/>
      <c r="AQ1063" s="36"/>
      <c r="AR1063" s="36"/>
      <c r="AS1063" s="36"/>
      <c r="AT1063" s="36"/>
      <c r="AU1063" s="36"/>
      <c r="AV1063" s="36"/>
      <c r="AW1063" s="36"/>
      <c r="AX1063" s="36"/>
      <c r="AY1063" s="36"/>
      <c r="AZ1063" s="36"/>
      <c r="BA1063" s="36"/>
      <c r="GH1063" s="55"/>
      <c r="KD1063" s="15"/>
      <c r="KE1063" s="51"/>
      <c r="KH1063" s="15"/>
      <c r="KI1063" s="15"/>
    </row>
    <row r="1064" spans="3:295">
      <c r="C1064" s="1"/>
      <c r="AE1064" s="51"/>
      <c r="AO1064" s="49"/>
      <c r="AQ1064" s="36"/>
      <c r="AR1064" s="36"/>
      <c r="AS1064" s="36"/>
      <c r="AT1064" s="36"/>
      <c r="AU1064" s="36"/>
      <c r="AV1064" s="36"/>
      <c r="AW1064" s="36"/>
      <c r="AX1064" s="36"/>
      <c r="AY1064" s="36"/>
      <c r="AZ1064" s="36"/>
      <c r="BA1064" s="36"/>
      <c r="GH1064" s="55"/>
      <c r="KD1064" s="15"/>
      <c r="KE1064" s="51"/>
      <c r="KH1064" s="15"/>
      <c r="KI1064" s="15"/>
    </row>
    <row r="1065" spans="3:295">
      <c r="C1065" s="1"/>
      <c r="AE1065" s="51"/>
      <c r="AO1065" s="49"/>
      <c r="AQ1065" s="36"/>
      <c r="AR1065" s="36"/>
      <c r="AS1065" s="36"/>
      <c r="AT1065" s="36"/>
      <c r="AU1065" s="36"/>
      <c r="AV1065" s="36"/>
      <c r="AW1065" s="36"/>
      <c r="AX1065" s="36"/>
      <c r="AY1065" s="36"/>
      <c r="AZ1065" s="36"/>
      <c r="BA1065" s="36"/>
      <c r="GH1065" s="55"/>
      <c r="KD1065" s="15"/>
      <c r="KE1065" s="51"/>
      <c r="KH1065" s="15"/>
      <c r="KI1065" s="15"/>
    </row>
    <row r="1066" spans="3:295">
      <c r="C1066" s="1"/>
      <c r="AE1066" s="51"/>
      <c r="AO1066" s="49"/>
      <c r="AQ1066" s="36"/>
      <c r="AR1066" s="36"/>
      <c r="AS1066" s="36"/>
      <c r="AT1066" s="36"/>
      <c r="AU1066" s="36"/>
      <c r="AV1066" s="36"/>
      <c r="AW1066" s="36"/>
      <c r="AX1066" s="36"/>
      <c r="AY1066" s="36"/>
      <c r="AZ1066" s="36"/>
      <c r="BA1066" s="36"/>
      <c r="GH1066" s="55"/>
      <c r="KD1066" s="15"/>
      <c r="KE1066" s="51"/>
      <c r="KH1066" s="15"/>
      <c r="KI1066" s="15"/>
    </row>
    <row r="1067" spans="3:295">
      <c r="C1067" s="1"/>
      <c r="AE1067" s="51"/>
      <c r="AO1067" s="49"/>
      <c r="AQ1067" s="36"/>
      <c r="AR1067" s="36"/>
      <c r="AS1067" s="36"/>
      <c r="AT1067" s="36"/>
      <c r="AU1067" s="36"/>
      <c r="AV1067" s="36"/>
      <c r="AW1067" s="36"/>
      <c r="AX1067" s="36"/>
      <c r="AY1067" s="36"/>
      <c r="AZ1067" s="36"/>
      <c r="BA1067" s="36"/>
      <c r="GH1067" s="55"/>
      <c r="KD1067" s="15"/>
      <c r="KE1067" s="51"/>
      <c r="KH1067" s="15"/>
      <c r="KI1067" s="15"/>
    </row>
    <row r="1068" spans="3:295">
      <c r="C1068" s="1"/>
      <c r="AE1068" s="51"/>
      <c r="AO1068" s="49"/>
      <c r="AQ1068" s="36"/>
      <c r="AR1068" s="36"/>
      <c r="AS1068" s="36"/>
      <c r="AT1068" s="36"/>
      <c r="AU1068" s="36"/>
      <c r="AV1068" s="36"/>
      <c r="AW1068" s="36"/>
      <c r="AX1068" s="36"/>
      <c r="AY1068" s="36"/>
      <c r="AZ1068" s="36"/>
      <c r="BA1068" s="36"/>
      <c r="GH1068" s="55"/>
      <c r="KD1068" s="15"/>
      <c r="KE1068" s="51"/>
      <c r="KH1068" s="15"/>
      <c r="KI1068" s="15"/>
    </row>
    <row r="1069" spans="3:295">
      <c r="C1069" s="1"/>
      <c r="AE1069" s="51"/>
      <c r="AO1069" s="49"/>
      <c r="AQ1069" s="36"/>
      <c r="AR1069" s="36"/>
      <c r="AS1069" s="36"/>
      <c r="AT1069" s="36"/>
      <c r="AU1069" s="36"/>
      <c r="AV1069" s="36"/>
      <c r="AW1069" s="36"/>
      <c r="AX1069" s="36"/>
      <c r="AY1069" s="36"/>
      <c r="AZ1069" s="36"/>
      <c r="BA1069" s="36"/>
      <c r="GH1069" s="55"/>
      <c r="KD1069" s="15"/>
      <c r="KE1069" s="51"/>
      <c r="KH1069" s="15"/>
      <c r="KI1069" s="15"/>
    </row>
    <row r="1070" spans="3:295">
      <c r="C1070" s="1"/>
      <c r="AE1070" s="51"/>
      <c r="AO1070" s="49"/>
      <c r="AQ1070" s="36"/>
      <c r="AR1070" s="36"/>
      <c r="AS1070" s="36"/>
      <c r="AT1070" s="36"/>
      <c r="AU1070" s="36"/>
      <c r="AV1070" s="36"/>
      <c r="AW1070" s="36"/>
      <c r="AX1070" s="36"/>
      <c r="AY1070" s="36"/>
      <c r="AZ1070" s="36"/>
      <c r="BA1070" s="36"/>
      <c r="GH1070" s="55"/>
      <c r="KD1070" s="15"/>
      <c r="KE1070" s="51"/>
      <c r="KH1070" s="15"/>
      <c r="KI1070" s="15"/>
    </row>
    <row r="1071" spans="3:295">
      <c r="C1071" s="1"/>
      <c r="AE1071" s="51"/>
      <c r="AO1071" s="49"/>
      <c r="AQ1071" s="36"/>
      <c r="AR1071" s="36"/>
      <c r="AS1071" s="36"/>
      <c r="AT1071" s="36"/>
      <c r="AU1071" s="36"/>
      <c r="AV1071" s="36"/>
      <c r="AW1071" s="36"/>
      <c r="AX1071" s="36"/>
      <c r="AY1071" s="36"/>
      <c r="AZ1071" s="36"/>
      <c r="BA1071" s="36"/>
      <c r="GH1071" s="55"/>
      <c r="KD1071" s="15"/>
      <c r="KE1071" s="51"/>
      <c r="KH1071" s="15"/>
      <c r="KI1071" s="15"/>
    </row>
    <row r="1072" spans="3:295">
      <c r="C1072" s="1"/>
      <c r="AE1072" s="51"/>
      <c r="AO1072" s="49"/>
      <c r="AQ1072" s="36"/>
      <c r="AR1072" s="36"/>
      <c r="AS1072" s="36"/>
      <c r="AT1072" s="36"/>
      <c r="AU1072" s="36"/>
      <c r="AV1072" s="36"/>
      <c r="AW1072" s="36"/>
      <c r="AX1072" s="36"/>
      <c r="AY1072" s="36"/>
      <c r="AZ1072" s="36"/>
      <c r="BA1072" s="36"/>
      <c r="GH1072" s="55"/>
      <c r="KD1072" s="15"/>
      <c r="KE1072" s="51"/>
      <c r="KH1072" s="15"/>
      <c r="KI1072" s="15"/>
    </row>
    <row r="1073" spans="3:295">
      <c r="C1073" s="1"/>
      <c r="AE1073" s="51"/>
      <c r="AO1073" s="49"/>
      <c r="AQ1073" s="36"/>
      <c r="AR1073" s="36"/>
      <c r="AS1073" s="36"/>
      <c r="AT1073" s="36"/>
      <c r="AU1073" s="36"/>
      <c r="AV1073" s="36"/>
      <c r="AW1073" s="36"/>
      <c r="AX1073" s="36"/>
      <c r="AY1073" s="36"/>
      <c r="AZ1073" s="36"/>
      <c r="BA1073" s="36"/>
      <c r="GH1073" s="55"/>
      <c r="KD1073" s="15"/>
      <c r="KE1073" s="51"/>
      <c r="KH1073" s="15"/>
      <c r="KI1073" s="15"/>
    </row>
    <row r="1074" spans="3:295">
      <c r="C1074" s="1"/>
      <c r="AE1074" s="51"/>
      <c r="AO1074" s="49"/>
      <c r="AQ1074" s="36"/>
      <c r="AR1074" s="36"/>
      <c r="AS1074" s="36"/>
      <c r="AT1074" s="36"/>
      <c r="AU1074" s="36"/>
      <c r="AV1074" s="36"/>
      <c r="AW1074" s="36"/>
      <c r="AX1074" s="36"/>
      <c r="AY1074" s="36"/>
      <c r="AZ1074" s="36"/>
      <c r="BA1074" s="36"/>
      <c r="GH1074" s="55"/>
      <c r="KD1074" s="15"/>
      <c r="KE1074" s="51"/>
      <c r="KH1074" s="15"/>
      <c r="KI1074" s="15"/>
    </row>
    <row r="1075" spans="3:295">
      <c r="C1075" s="1"/>
      <c r="AE1075" s="51"/>
      <c r="AO1075" s="49"/>
      <c r="AQ1075" s="36"/>
      <c r="AR1075" s="36"/>
      <c r="AS1075" s="36"/>
      <c r="AT1075" s="36"/>
      <c r="AU1075" s="36"/>
      <c r="AV1075" s="36"/>
      <c r="AW1075" s="36"/>
      <c r="AX1075" s="36"/>
      <c r="AY1075" s="36"/>
      <c r="AZ1075" s="36"/>
      <c r="BA1075" s="36"/>
      <c r="GH1075" s="55"/>
      <c r="KD1075" s="15"/>
      <c r="KE1075" s="51"/>
      <c r="KH1075" s="15"/>
      <c r="KI1075" s="15"/>
    </row>
    <row r="1076" spans="3:295">
      <c r="C1076" s="1"/>
      <c r="AE1076" s="51"/>
      <c r="AO1076" s="49"/>
      <c r="AQ1076" s="36"/>
      <c r="AR1076" s="36"/>
      <c r="AS1076" s="36"/>
      <c r="AT1076" s="36"/>
      <c r="AU1076" s="36"/>
      <c r="AV1076" s="36"/>
      <c r="AW1076" s="36"/>
      <c r="AX1076" s="36"/>
      <c r="AY1076" s="36"/>
      <c r="AZ1076" s="36"/>
      <c r="BA1076" s="36"/>
      <c r="GH1076" s="55"/>
      <c r="KD1076" s="15"/>
      <c r="KE1076" s="51"/>
      <c r="KH1076" s="15"/>
      <c r="KI1076" s="15"/>
    </row>
    <row r="1077" spans="3:295">
      <c r="C1077" s="1"/>
      <c r="AE1077" s="51"/>
      <c r="AO1077" s="49"/>
      <c r="AQ1077" s="36"/>
      <c r="AR1077" s="36"/>
      <c r="AS1077" s="36"/>
      <c r="AT1077" s="36"/>
      <c r="AU1077" s="36"/>
      <c r="AV1077" s="36"/>
      <c r="AW1077" s="36"/>
      <c r="AX1077" s="36"/>
      <c r="AY1077" s="36"/>
      <c r="AZ1077" s="36"/>
      <c r="BA1077" s="36"/>
      <c r="GH1077" s="55"/>
      <c r="KD1077" s="15"/>
      <c r="KE1077" s="51"/>
      <c r="KH1077" s="15"/>
      <c r="KI1077" s="15"/>
    </row>
    <row r="1078" spans="3:295">
      <c r="C1078" s="1"/>
      <c r="AE1078" s="51"/>
      <c r="AO1078" s="49"/>
      <c r="AQ1078" s="36"/>
      <c r="AR1078" s="36"/>
      <c r="AS1078" s="36"/>
      <c r="AT1078" s="36"/>
      <c r="AU1078" s="36"/>
      <c r="AV1078" s="36"/>
      <c r="AW1078" s="36"/>
      <c r="AX1078" s="36"/>
      <c r="AY1078" s="36"/>
      <c r="AZ1078" s="36"/>
      <c r="BA1078" s="36"/>
      <c r="GH1078" s="55"/>
      <c r="KD1078" s="15"/>
      <c r="KE1078" s="51"/>
      <c r="KH1078" s="15"/>
      <c r="KI1078" s="15"/>
    </row>
    <row r="1079" spans="3:295">
      <c r="C1079" s="1"/>
      <c r="AE1079" s="51"/>
      <c r="AO1079" s="49"/>
      <c r="AQ1079" s="36"/>
      <c r="AR1079" s="36"/>
      <c r="AS1079" s="36"/>
      <c r="AT1079" s="36"/>
      <c r="AU1079" s="36"/>
      <c r="AV1079" s="36"/>
      <c r="AW1079" s="36"/>
      <c r="AX1079" s="36"/>
      <c r="AY1079" s="36"/>
      <c r="AZ1079" s="36"/>
      <c r="BA1079" s="36"/>
      <c r="GH1079" s="55"/>
      <c r="KD1079" s="15"/>
      <c r="KE1079" s="51"/>
      <c r="KH1079" s="15"/>
      <c r="KI1079" s="15"/>
    </row>
    <row r="1080" spans="3:295">
      <c r="C1080" s="1"/>
      <c r="AE1080" s="51"/>
      <c r="AO1080" s="49"/>
      <c r="AQ1080" s="36"/>
      <c r="AR1080" s="36"/>
      <c r="AS1080" s="36"/>
      <c r="AT1080" s="36"/>
      <c r="AU1080" s="36"/>
      <c r="AV1080" s="36"/>
      <c r="AW1080" s="36"/>
      <c r="AX1080" s="36"/>
      <c r="AY1080" s="36"/>
      <c r="AZ1080" s="36"/>
      <c r="BA1080" s="36"/>
      <c r="GH1080" s="55"/>
      <c r="KD1080" s="15"/>
      <c r="KE1080" s="51"/>
      <c r="KH1080" s="15"/>
      <c r="KI1080" s="15"/>
    </row>
    <row r="1081" spans="3:295">
      <c r="C1081" s="1"/>
      <c r="AE1081" s="51"/>
      <c r="AO1081" s="49"/>
      <c r="AQ1081" s="36"/>
      <c r="AR1081" s="36"/>
      <c r="AS1081" s="36"/>
      <c r="AT1081" s="36"/>
      <c r="AU1081" s="36"/>
      <c r="AV1081" s="36"/>
      <c r="AW1081" s="36"/>
      <c r="AX1081" s="36"/>
      <c r="AY1081" s="36"/>
      <c r="AZ1081" s="36"/>
      <c r="BA1081" s="36"/>
      <c r="GH1081" s="55"/>
      <c r="KD1081" s="15"/>
      <c r="KE1081" s="51"/>
      <c r="KH1081" s="15"/>
      <c r="KI1081" s="15"/>
    </row>
    <row r="1082" spans="3:295">
      <c r="C1082" s="1"/>
      <c r="AE1082" s="51"/>
      <c r="AO1082" s="49"/>
      <c r="AQ1082" s="36"/>
      <c r="AR1082" s="36"/>
      <c r="AS1082" s="36"/>
      <c r="AT1082" s="36"/>
      <c r="AU1082" s="36"/>
      <c r="AV1082" s="36"/>
      <c r="AW1082" s="36"/>
      <c r="AX1082" s="36"/>
      <c r="AY1082" s="36"/>
      <c r="AZ1082" s="36"/>
      <c r="BA1082" s="36"/>
      <c r="GH1082" s="55"/>
      <c r="KD1082" s="15"/>
      <c r="KE1082" s="51"/>
      <c r="KH1082" s="15"/>
      <c r="KI1082" s="15"/>
    </row>
    <row r="1083" spans="3:295">
      <c r="C1083" s="1"/>
      <c r="AE1083" s="51"/>
      <c r="AO1083" s="49"/>
      <c r="AQ1083" s="36"/>
      <c r="AR1083" s="36"/>
      <c r="AS1083" s="36"/>
      <c r="AT1083" s="36"/>
      <c r="AU1083" s="36"/>
      <c r="AV1083" s="36"/>
      <c r="AW1083" s="36"/>
      <c r="AX1083" s="36"/>
      <c r="AY1083" s="36"/>
      <c r="AZ1083" s="36"/>
      <c r="BA1083" s="36"/>
      <c r="GH1083" s="55"/>
      <c r="KD1083" s="15"/>
      <c r="KE1083" s="51"/>
      <c r="KH1083" s="15"/>
      <c r="KI1083" s="15"/>
    </row>
    <row r="1084" spans="3:295">
      <c r="C1084" s="1"/>
      <c r="AE1084" s="51"/>
      <c r="AO1084" s="49"/>
      <c r="AQ1084" s="36"/>
      <c r="AR1084" s="36"/>
      <c r="AS1084" s="36"/>
      <c r="AT1084" s="36"/>
      <c r="AU1084" s="36"/>
      <c r="AV1084" s="36"/>
      <c r="AW1084" s="36"/>
      <c r="AX1084" s="36"/>
      <c r="AY1084" s="36"/>
      <c r="AZ1084" s="36"/>
      <c r="BA1084" s="36"/>
      <c r="GH1084" s="55"/>
      <c r="KD1084" s="15"/>
      <c r="KE1084" s="51"/>
      <c r="KH1084" s="15"/>
      <c r="KI1084" s="15"/>
    </row>
    <row r="1085" spans="3:295">
      <c r="C1085" s="1"/>
      <c r="AE1085" s="51"/>
      <c r="AO1085" s="49"/>
      <c r="AQ1085" s="36"/>
      <c r="AR1085" s="36"/>
      <c r="AS1085" s="36"/>
      <c r="AT1085" s="36"/>
      <c r="AU1085" s="36"/>
      <c r="AV1085" s="36"/>
      <c r="AW1085" s="36"/>
      <c r="AX1085" s="36"/>
      <c r="AY1085" s="36"/>
      <c r="AZ1085" s="36"/>
      <c r="BA1085" s="36"/>
      <c r="GH1085" s="55"/>
      <c r="KD1085" s="15"/>
      <c r="KE1085" s="51"/>
      <c r="KH1085" s="15"/>
      <c r="KI1085" s="15"/>
    </row>
    <row r="1086" spans="3:295">
      <c r="C1086" s="1"/>
      <c r="AE1086" s="51"/>
      <c r="AO1086" s="49"/>
      <c r="AQ1086" s="36"/>
      <c r="AR1086" s="36"/>
      <c r="AS1086" s="36"/>
      <c r="AT1086" s="36"/>
      <c r="AU1086" s="36"/>
      <c r="AV1086" s="36"/>
      <c r="AW1086" s="36"/>
      <c r="AX1086" s="36"/>
      <c r="AY1086" s="36"/>
      <c r="AZ1086" s="36"/>
      <c r="BA1086" s="36"/>
      <c r="GH1086" s="55"/>
      <c r="KD1086" s="15"/>
      <c r="KE1086" s="51"/>
      <c r="KH1086" s="15"/>
      <c r="KI1086" s="15"/>
    </row>
    <row r="1087" spans="3:295">
      <c r="C1087" s="1"/>
      <c r="AE1087" s="51"/>
      <c r="AO1087" s="49"/>
      <c r="AQ1087" s="36"/>
      <c r="AR1087" s="36"/>
      <c r="AS1087" s="36"/>
      <c r="AT1087" s="36"/>
      <c r="AU1087" s="36"/>
      <c r="AV1087" s="36"/>
      <c r="AW1087" s="36"/>
      <c r="AX1087" s="36"/>
      <c r="AY1087" s="36"/>
      <c r="AZ1087" s="36"/>
      <c r="BA1087" s="36"/>
      <c r="GH1087" s="55"/>
      <c r="KD1087" s="15"/>
      <c r="KE1087" s="51"/>
      <c r="KH1087" s="15"/>
      <c r="KI1087" s="15"/>
    </row>
    <row r="1088" spans="3:295">
      <c r="C1088" s="1"/>
      <c r="AE1088" s="51"/>
      <c r="AO1088" s="49"/>
      <c r="AQ1088" s="36"/>
      <c r="AR1088" s="36"/>
      <c r="AS1088" s="36"/>
      <c r="AT1088" s="36"/>
      <c r="AU1088" s="36"/>
      <c r="AV1088" s="36"/>
      <c r="AW1088" s="36"/>
      <c r="AX1088" s="36"/>
      <c r="AY1088" s="36"/>
      <c r="AZ1088" s="36"/>
      <c r="BA1088" s="36"/>
      <c r="GH1088" s="55"/>
      <c r="KD1088" s="15"/>
      <c r="KE1088" s="51"/>
      <c r="KH1088" s="15"/>
      <c r="KI1088" s="15"/>
    </row>
    <row r="1089" spans="3:295">
      <c r="C1089" s="1"/>
      <c r="AE1089" s="51"/>
      <c r="AO1089" s="49"/>
      <c r="AQ1089" s="36"/>
      <c r="AR1089" s="36"/>
      <c r="AS1089" s="36"/>
      <c r="AT1089" s="36"/>
      <c r="AU1089" s="36"/>
      <c r="AV1089" s="36"/>
      <c r="AW1089" s="36"/>
      <c r="AX1089" s="36"/>
      <c r="AY1089" s="36"/>
      <c r="AZ1089" s="36"/>
      <c r="BA1089" s="36"/>
      <c r="GH1089" s="55"/>
      <c r="KD1089" s="15"/>
      <c r="KE1089" s="51"/>
      <c r="KH1089" s="15"/>
      <c r="KI1089" s="15"/>
    </row>
    <row r="1090" spans="3:295">
      <c r="C1090" s="1"/>
      <c r="AE1090" s="51"/>
      <c r="AO1090" s="49"/>
      <c r="AQ1090" s="36"/>
      <c r="AR1090" s="36"/>
      <c r="AS1090" s="36"/>
      <c r="AT1090" s="36"/>
      <c r="AU1090" s="36"/>
      <c r="AV1090" s="36"/>
      <c r="AW1090" s="36"/>
      <c r="AX1090" s="36"/>
      <c r="AY1090" s="36"/>
      <c r="AZ1090" s="36"/>
      <c r="BA1090" s="36"/>
      <c r="GH1090" s="55"/>
      <c r="KD1090" s="15"/>
      <c r="KE1090" s="51"/>
      <c r="KH1090" s="15"/>
      <c r="KI1090" s="15"/>
    </row>
    <row r="1091" spans="3:295">
      <c r="C1091" s="1"/>
      <c r="AE1091" s="51"/>
      <c r="AO1091" s="49"/>
      <c r="AQ1091" s="36"/>
      <c r="AR1091" s="36"/>
      <c r="AS1091" s="36"/>
      <c r="AT1091" s="36"/>
      <c r="AU1091" s="36"/>
      <c r="AV1091" s="36"/>
      <c r="AW1091" s="36"/>
      <c r="AX1091" s="36"/>
      <c r="AY1091" s="36"/>
      <c r="AZ1091" s="36"/>
      <c r="BA1091" s="36"/>
      <c r="GH1091" s="55"/>
      <c r="KD1091" s="15"/>
      <c r="KE1091" s="51"/>
      <c r="KH1091" s="15"/>
      <c r="KI1091" s="15"/>
    </row>
    <row r="1092" spans="3:295">
      <c r="C1092" s="1"/>
      <c r="AE1092" s="51"/>
      <c r="AO1092" s="49"/>
      <c r="AQ1092" s="36"/>
      <c r="AR1092" s="36"/>
      <c r="AS1092" s="36"/>
      <c r="AT1092" s="36"/>
      <c r="AU1092" s="36"/>
      <c r="AV1092" s="36"/>
      <c r="AW1092" s="36"/>
      <c r="AX1092" s="36"/>
      <c r="AY1092" s="36"/>
      <c r="AZ1092" s="36"/>
      <c r="BA1092" s="36"/>
      <c r="GH1092" s="55"/>
      <c r="KD1092" s="15"/>
      <c r="KE1092" s="51"/>
      <c r="KH1092" s="15"/>
      <c r="KI1092" s="15"/>
    </row>
    <row r="1093" spans="3:295">
      <c r="C1093" s="1"/>
      <c r="AE1093" s="51"/>
      <c r="AO1093" s="49"/>
      <c r="AQ1093" s="36"/>
      <c r="AR1093" s="36"/>
      <c r="AS1093" s="36"/>
      <c r="AT1093" s="36"/>
      <c r="AU1093" s="36"/>
      <c r="AV1093" s="36"/>
      <c r="AW1093" s="36"/>
      <c r="AX1093" s="36"/>
      <c r="AY1093" s="36"/>
      <c r="AZ1093" s="36"/>
      <c r="BA1093" s="36"/>
      <c r="GH1093" s="55"/>
      <c r="KD1093" s="15"/>
      <c r="KE1093" s="51"/>
      <c r="KH1093" s="15"/>
      <c r="KI1093" s="15"/>
    </row>
    <row r="1094" spans="3:295">
      <c r="C1094" s="1"/>
      <c r="AE1094" s="51"/>
      <c r="AO1094" s="49"/>
      <c r="AQ1094" s="36"/>
      <c r="AR1094" s="36"/>
      <c r="AS1094" s="36"/>
      <c r="AT1094" s="36"/>
      <c r="AU1094" s="36"/>
      <c r="AV1094" s="36"/>
      <c r="AW1094" s="36"/>
      <c r="AX1094" s="36"/>
      <c r="AY1094" s="36"/>
      <c r="AZ1094" s="36"/>
      <c r="BA1094" s="36"/>
      <c r="GH1094" s="55"/>
      <c r="KD1094" s="15"/>
      <c r="KE1094" s="51"/>
      <c r="KH1094" s="15"/>
      <c r="KI1094" s="15"/>
    </row>
    <row r="1095" spans="3:295">
      <c r="C1095" s="1"/>
      <c r="AE1095" s="51"/>
      <c r="AO1095" s="49"/>
      <c r="AQ1095" s="36"/>
      <c r="AR1095" s="36"/>
      <c r="AS1095" s="36"/>
      <c r="AT1095" s="36"/>
      <c r="AU1095" s="36"/>
      <c r="AV1095" s="36"/>
      <c r="AW1095" s="36"/>
      <c r="AX1095" s="36"/>
      <c r="AY1095" s="36"/>
      <c r="AZ1095" s="36"/>
      <c r="BA1095" s="36"/>
      <c r="GH1095" s="55"/>
      <c r="KD1095" s="15"/>
      <c r="KE1095" s="51"/>
      <c r="KH1095" s="15"/>
      <c r="KI1095" s="15"/>
    </row>
    <row r="1096" spans="3:295">
      <c r="C1096" s="1"/>
      <c r="AE1096" s="51"/>
      <c r="AO1096" s="49"/>
      <c r="AQ1096" s="36"/>
      <c r="AR1096" s="36"/>
      <c r="AS1096" s="36"/>
      <c r="AT1096" s="36"/>
      <c r="AU1096" s="36"/>
      <c r="AV1096" s="36"/>
      <c r="AW1096" s="36"/>
      <c r="AX1096" s="36"/>
      <c r="AY1096" s="36"/>
      <c r="AZ1096" s="36"/>
      <c r="BA1096" s="36"/>
      <c r="GH1096" s="55"/>
      <c r="KD1096" s="15"/>
      <c r="KE1096" s="51"/>
      <c r="KH1096" s="15"/>
      <c r="KI1096" s="15"/>
    </row>
    <row r="1097" spans="3:295">
      <c r="C1097" s="1"/>
      <c r="AE1097" s="51"/>
      <c r="AO1097" s="49"/>
      <c r="AQ1097" s="36"/>
      <c r="AR1097" s="36"/>
      <c r="AS1097" s="36"/>
      <c r="AT1097" s="36"/>
      <c r="AU1097" s="36"/>
      <c r="AV1097" s="36"/>
      <c r="AW1097" s="36"/>
      <c r="AX1097" s="36"/>
      <c r="AY1097" s="36"/>
      <c r="AZ1097" s="36"/>
      <c r="BA1097" s="36"/>
      <c r="GH1097" s="55"/>
      <c r="KD1097" s="15"/>
      <c r="KE1097" s="51"/>
      <c r="KH1097" s="15"/>
      <c r="KI1097" s="15"/>
    </row>
    <row r="1098" spans="3:295">
      <c r="C1098" s="1"/>
      <c r="AE1098" s="51"/>
      <c r="AO1098" s="49"/>
      <c r="AQ1098" s="36"/>
      <c r="AR1098" s="36"/>
      <c r="AS1098" s="36"/>
      <c r="AT1098" s="36"/>
      <c r="AU1098" s="36"/>
      <c r="AV1098" s="36"/>
      <c r="AW1098" s="36"/>
      <c r="AX1098" s="36"/>
      <c r="AY1098" s="36"/>
      <c r="AZ1098" s="36"/>
      <c r="BA1098" s="36"/>
      <c r="GH1098" s="55"/>
      <c r="KD1098" s="15"/>
      <c r="KE1098" s="51"/>
      <c r="KH1098" s="15"/>
      <c r="KI1098" s="15"/>
    </row>
    <row r="1099" spans="3:295">
      <c r="C1099" s="1"/>
      <c r="AE1099" s="51"/>
      <c r="AO1099" s="49"/>
      <c r="AQ1099" s="36"/>
      <c r="AR1099" s="36"/>
      <c r="AS1099" s="36"/>
      <c r="AT1099" s="36"/>
      <c r="AU1099" s="36"/>
      <c r="AV1099" s="36"/>
      <c r="AW1099" s="36"/>
      <c r="AX1099" s="36"/>
      <c r="AY1099" s="36"/>
      <c r="AZ1099" s="36"/>
      <c r="BA1099" s="36"/>
      <c r="GH1099" s="55"/>
      <c r="KD1099" s="15"/>
      <c r="KE1099" s="51"/>
      <c r="KH1099" s="15"/>
      <c r="KI1099" s="15"/>
    </row>
    <row r="1100" spans="3:295">
      <c r="C1100" s="1"/>
      <c r="AE1100" s="51"/>
      <c r="AO1100" s="49"/>
      <c r="AQ1100" s="36"/>
      <c r="AR1100" s="36"/>
      <c r="AS1100" s="36"/>
      <c r="AT1100" s="36"/>
      <c r="AU1100" s="36"/>
      <c r="AV1100" s="36"/>
      <c r="AW1100" s="36"/>
      <c r="AX1100" s="36"/>
      <c r="AY1100" s="36"/>
      <c r="AZ1100" s="36"/>
      <c r="BA1100" s="36"/>
      <c r="GH1100" s="55"/>
      <c r="KD1100" s="15"/>
      <c r="KE1100" s="51"/>
      <c r="KH1100" s="15"/>
      <c r="KI1100" s="15"/>
    </row>
    <row r="1101" spans="3:295">
      <c r="C1101" s="1"/>
      <c r="AE1101" s="51"/>
      <c r="AO1101" s="49"/>
      <c r="AQ1101" s="36"/>
      <c r="AR1101" s="36"/>
      <c r="AS1101" s="36"/>
      <c r="AT1101" s="36"/>
      <c r="AU1101" s="36"/>
      <c r="AV1101" s="36"/>
      <c r="AW1101" s="36"/>
      <c r="AX1101" s="36"/>
      <c r="AY1101" s="36"/>
      <c r="AZ1101" s="36"/>
      <c r="BA1101" s="36"/>
      <c r="GH1101" s="55"/>
      <c r="KD1101" s="15"/>
      <c r="KE1101" s="51"/>
      <c r="KH1101" s="15"/>
      <c r="KI1101" s="15"/>
    </row>
    <row r="1102" spans="3:295">
      <c r="C1102" s="1"/>
      <c r="AE1102" s="51"/>
      <c r="AO1102" s="49"/>
      <c r="AQ1102" s="36"/>
      <c r="AR1102" s="36"/>
      <c r="AS1102" s="36"/>
      <c r="AT1102" s="36"/>
      <c r="AU1102" s="36"/>
      <c r="AV1102" s="36"/>
      <c r="AW1102" s="36"/>
      <c r="AX1102" s="36"/>
      <c r="AY1102" s="36"/>
      <c r="AZ1102" s="36"/>
      <c r="BA1102" s="36"/>
      <c r="GH1102" s="55"/>
      <c r="KD1102" s="15"/>
      <c r="KE1102" s="51"/>
      <c r="KH1102" s="15"/>
      <c r="KI1102" s="15"/>
    </row>
    <row r="1103" spans="3:295">
      <c r="C1103" s="1"/>
      <c r="AE1103" s="51"/>
      <c r="AO1103" s="49"/>
      <c r="AQ1103" s="36"/>
      <c r="AR1103" s="36"/>
      <c r="AS1103" s="36"/>
      <c r="AT1103" s="36"/>
      <c r="AU1103" s="36"/>
      <c r="AV1103" s="36"/>
      <c r="AW1103" s="36"/>
      <c r="AX1103" s="36"/>
      <c r="AY1103" s="36"/>
      <c r="AZ1103" s="36"/>
      <c r="BA1103" s="36"/>
      <c r="GH1103" s="55"/>
      <c r="KD1103" s="15"/>
      <c r="KE1103" s="51"/>
      <c r="KH1103" s="15"/>
      <c r="KI1103" s="15"/>
    </row>
    <row r="1104" spans="3:295">
      <c r="C1104" s="1"/>
      <c r="AE1104" s="51"/>
      <c r="AO1104" s="49"/>
      <c r="AQ1104" s="36"/>
      <c r="AR1104" s="36"/>
      <c r="AS1104" s="36"/>
      <c r="AT1104" s="36"/>
      <c r="AU1104" s="36"/>
      <c r="AV1104" s="36"/>
      <c r="AW1104" s="36"/>
      <c r="AX1104" s="36"/>
      <c r="AY1104" s="36"/>
      <c r="AZ1104" s="36"/>
      <c r="BA1104" s="36"/>
      <c r="GH1104" s="55"/>
      <c r="KD1104" s="15"/>
      <c r="KE1104" s="51"/>
      <c r="KH1104" s="15"/>
      <c r="KI1104" s="15"/>
    </row>
    <row r="1105" spans="3:295">
      <c r="C1105" s="1"/>
      <c r="AE1105" s="51"/>
      <c r="AO1105" s="49"/>
      <c r="AQ1105" s="36"/>
      <c r="AR1105" s="36"/>
      <c r="AS1105" s="36"/>
      <c r="AT1105" s="36"/>
      <c r="AU1105" s="36"/>
      <c r="AV1105" s="36"/>
      <c r="AW1105" s="36"/>
      <c r="AX1105" s="36"/>
      <c r="AY1105" s="36"/>
      <c r="AZ1105" s="36"/>
      <c r="BA1105" s="36"/>
      <c r="GH1105" s="55"/>
      <c r="KD1105" s="15"/>
      <c r="KE1105" s="51"/>
      <c r="KH1105" s="15"/>
      <c r="KI1105" s="15"/>
    </row>
    <row r="1106" spans="3:295">
      <c r="C1106" s="1"/>
      <c r="AE1106" s="51"/>
      <c r="AO1106" s="49"/>
      <c r="AQ1106" s="36"/>
      <c r="AR1106" s="36"/>
      <c r="AS1106" s="36"/>
      <c r="AT1106" s="36"/>
      <c r="AU1106" s="36"/>
      <c r="AV1106" s="36"/>
      <c r="AW1106" s="36"/>
      <c r="AX1106" s="36"/>
      <c r="AY1106" s="36"/>
      <c r="AZ1106" s="36"/>
      <c r="BA1106" s="36"/>
      <c r="GH1106" s="55"/>
      <c r="KD1106" s="15"/>
      <c r="KE1106" s="51"/>
      <c r="KH1106" s="15"/>
      <c r="KI1106" s="15"/>
    </row>
    <row r="1107" spans="3:295">
      <c r="C1107" s="1"/>
      <c r="AE1107" s="51"/>
      <c r="AO1107" s="49"/>
      <c r="AQ1107" s="36"/>
      <c r="AR1107" s="36"/>
      <c r="AS1107" s="36"/>
      <c r="AT1107" s="36"/>
      <c r="AU1107" s="36"/>
      <c r="AV1107" s="36"/>
      <c r="AW1107" s="36"/>
      <c r="AX1107" s="36"/>
      <c r="AY1107" s="36"/>
      <c r="AZ1107" s="36"/>
      <c r="BA1107" s="36"/>
      <c r="GH1107" s="55"/>
      <c r="KD1107" s="15"/>
      <c r="KE1107" s="51"/>
      <c r="KH1107" s="15"/>
      <c r="KI1107" s="15"/>
    </row>
    <row r="1108" spans="3:295">
      <c r="C1108" s="1"/>
      <c r="AE1108" s="51"/>
      <c r="AO1108" s="49"/>
      <c r="AQ1108" s="36"/>
      <c r="AR1108" s="36"/>
      <c r="AS1108" s="36"/>
      <c r="AT1108" s="36"/>
      <c r="AU1108" s="36"/>
      <c r="AV1108" s="36"/>
      <c r="AW1108" s="36"/>
      <c r="AX1108" s="36"/>
      <c r="AY1108" s="36"/>
      <c r="AZ1108" s="36"/>
      <c r="BA1108" s="36"/>
      <c r="GH1108" s="55"/>
      <c r="KD1108" s="15"/>
      <c r="KE1108" s="51"/>
      <c r="KH1108" s="15"/>
      <c r="KI1108" s="15"/>
    </row>
    <row r="1109" spans="3:295">
      <c r="C1109" s="1"/>
      <c r="AE1109" s="51"/>
      <c r="AO1109" s="49"/>
      <c r="AQ1109" s="36"/>
      <c r="AR1109" s="36"/>
      <c r="AS1109" s="36"/>
      <c r="AT1109" s="36"/>
      <c r="AU1109" s="36"/>
      <c r="AV1109" s="36"/>
      <c r="AW1109" s="36"/>
      <c r="AX1109" s="36"/>
      <c r="AY1109" s="36"/>
      <c r="AZ1109" s="36"/>
      <c r="BA1109" s="36"/>
      <c r="GH1109" s="55"/>
      <c r="KD1109" s="15"/>
      <c r="KE1109" s="51"/>
      <c r="KH1109" s="15"/>
      <c r="KI1109" s="15"/>
    </row>
    <row r="1110" spans="3:295">
      <c r="C1110" s="1"/>
      <c r="AE1110" s="51"/>
      <c r="AO1110" s="49"/>
      <c r="AQ1110" s="36"/>
      <c r="AR1110" s="36"/>
      <c r="AS1110" s="36"/>
      <c r="AT1110" s="36"/>
      <c r="AU1110" s="36"/>
      <c r="AV1110" s="36"/>
      <c r="AW1110" s="36"/>
      <c r="AX1110" s="36"/>
      <c r="AY1110" s="36"/>
      <c r="AZ1110" s="36"/>
      <c r="BA1110" s="36"/>
      <c r="GH1110" s="55"/>
      <c r="KD1110" s="15"/>
      <c r="KE1110" s="51"/>
      <c r="KH1110" s="15"/>
      <c r="KI1110" s="15"/>
    </row>
    <row r="1111" spans="3:295">
      <c r="C1111" s="1"/>
      <c r="AE1111" s="51"/>
      <c r="AO1111" s="49"/>
      <c r="AQ1111" s="36"/>
      <c r="AR1111" s="36"/>
      <c r="AS1111" s="36"/>
      <c r="AT1111" s="36"/>
      <c r="AU1111" s="36"/>
      <c r="AV1111" s="36"/>
      <c r="AW1111" s="36"/>
      <c r="AX1111" s="36"/>
      <c r="AY1111" s="36"/>
      <c r="AZ1111" s="36"/>
      <c r="BA1111" s="36"/>
      <c r="GH1111" s="55"/>
      <c r="KD1111" s="15"/>
      <c r="KE1111" s="51"/>
      <c r="KH1111" s="15"/>
      <c r="KI1111" s="15"/>
    </row>
    <row r="1112" spans="3:295">
      <c r="C1112" s="1"/>
      <c r="AE1112" s="51"/>
      <c r="AO1112" s="49"/>
      <c r="AQ1112" s="36"/>
      <c r="AR1112" s="36"/>
      <c r="AS1112" s="36"/>
      <c r="AT1112" s="36"/>
      <c r="AU1112" s="36"/>
      <c r="AV1112" s="36"/>
      <c r="AW1112" s="36"/>
      <c r="AX1112" s="36"/>
      <c r="AY1112" s="36"/>
      <c r="AZ1112" s="36"/>
      <c r="BA1112" s="36"/>
      <c r="GH1112" s="55"/>
      <c r="KD1112" s="15"/>
      <c r="KE1112" s="51"/>
      <c r="KH1112" s="15"/>
      <c r="KI1112" s="15"/>
    </row>
    <row r="1113" spans="3:295">
      <c r="C1113" s="1"/>
      <c r="AE1113" s="51"/>
      <c r="AO1113" s="49"/>
      <c r="AQ1113" s="36"/>
      <c r="AR1113" s="36"/>
      <c r="AS1113" s="36"/>
      <c r="AT1113" s="36"/>
      <c r="AU1113" s="36"/>
      <c r="AV1113" s="36"/>
      <c r="AW1113" s="36"/>
      <c r="AX1113" s="36"/>
      <c r="AY1113" s="36"/>
      <c r="AZ1113" s="36"/>
      <c r="BA1113" s="36"/>
      <c r="GH1113" s="55"/>
      <c r="KD1113" s="15"/>
      <c r="KE1113" s="51"/>
      <c r="KH1113" s="15"/>
      <c r="KI1113" s="15"/>
    </row>
    <row r="1114" spans="3:295">
      <c r="C1114" s="1"/>
      <c r="AE1114" s="51"/>
      <c r="AO1114" s="49"/>
      <c r="AQ1114" s="36"/>
      <c r="AR1114" s="36"/>
      <c r="AS1114" s="36"/>
      <c r="AT1114" s="36"/>
      <c r="AU1114" s="36"/>
      <c r="AV1114" s="36"/>
      <c r="AW1114" s="36"/>
      <c r="AX1114" s="36"/>
      <c r="AY1114" s="36"/>
      <c r="AZ1114" s="36"/>
      <c r="BA1114" s="36"/>
      <c r="GH1114" s="55"/>
      <c r="KD1114" s="15"/>
      <c r="KE1114" s="51"/>
      <c r="KH1114" s="15"/>
      <c r="KI1114" s="15"/>
    </row>
    <row r="1115" spans="3:295">
      <c r="C1115" s="1"/>
      <c r="AE1115" s="51"/>
      <c r="AO1115" s="49"/>
      <c r="AQ1115" s="36"/>
      <c r="AR1115" s="36"/>
      <c r="AS1115" s="36"/>
      <c r="AT1115" s="36"/>
      <c r="AU1115" s="36"/>
      <c r="AV1115" s="36"/>
      <c r="AW1115" s="36"/>
      <c r="AX1115" s="36"/>
      <c r="AY1115" s="36"/>
      <c r="AZ1115" s="36"/>
      <c r="BA1115" s="36"/>
      <c r="GH1115" s="55"/>
      <c r="KD1115" s="15"/>
      <c r="KE1115" s="51"/>
      <c r="KH1115" s="15"/>
      <c r="KI1115" s="15"/>
    </row>
    <row r="1116" spans="3:295">
      <c r="C1116" s="1"/>
      <c r="AE1116" s="51"/>
      <c r="AO1116" s="49"/>
      <c r="AQ1116" s="36"/>
      <c r="AR1116" s="36"/>
      <c r="AS1116" s="36"/>
      <c r="AT1116" s="36"/>
      <c r="AU1116" s="36"/>
      <c r="AV1116" s="36"/>
      <c r="AW1116" s="36"/>
      <c r="AX1116" s="36"/>
      <c r="AY1116" s="36"/>
      <c r="AZ1116" s="36"/>
      <c r="BA1116" s="36"/>
      <c r="GH1116" s="55"/>
      <c r="KD1116" s="15"/>
      <c r="KE1116" s="51"/>
      <c r="KH1116" s="15"/>
      <c r="KI1116" s="15"/>
    </row>
    <row r="1117" spans="3:295">
      <c r="C1117" s="1"/>
      <c r="AE1117" s="51"/>
      <c r="AO1117" s="49"/>
      <c r="AQ1117" s="36"/>
      <c r="AR1117" s="36"/>
      <c r="AS1117" s="36"/>
      <c r="AT1117" s="36"/>
      <c r="AU1117" s="36"/>
      <c r="AV1117" s="36"/>
      <c r="AW1117" s="36"/>
      <c r="AX1117" s="36"/>
      <c r="AY1117" s="36"/>
      <c r="AZ1117" s="36"/>
      <c r="BA1117" s="36"/>
      <c r="GH1117" s="55"/>
      <c r="KD1117" s="15"/>
      <c r="KE1117" s="51"/>
      <c r="KH1117" s="15"/>
      <c r="KI1117" s="15"/>
    </row>
    <row r="1118" spans="3:295">
      <c r="C1118" s="1"/>
      <c r="AE1118" s="51"/>
      <c r="AO1118" s="49"/>
      <c r="AQ1118" s="36"/>
      <c r="AR1118" s="36"/>
      <c r="AS1118" s="36"/>
      <c r="AT1118" s="36"/>
      <c r="AU1118" s="36"/>
      <c r="AV1118" s="36"/>
      <c r="AW1118" s="36"/>
      <c r="AX1118" s="36"/>
      <c r="AY1118" s="36"/>
      <c r="AZ1118" s="36"/>
      <c r="BA1118" s="36"/>
      <c r="GH1118" s="55"/>
      <c r="KD1118" s="15"/>
      <c r="KE1118" s="51"/>
      <c r="KH1118" s="15"/>
      <c r="KI1118" s="15"/>
    </row>
    <row r="1119" spans="3:295">
      <c r="C1119" s="1"/>
      <c r="AE1119" s="51"/>
      <c r="AO1119" s="49"/>
      <c r="AQ1119" s="36"/>
      <c r="AR1119" s="36"/>
      <c r="AS1119" s="36"/>
      <c r="AT1119" s="36"/>
      <c r="AU1119" s="36"/>
      <c r="AV1119" s="36"/>
      <c r="AW1119" s="36"/>
      <c r="AX1119" s="36"/>
      <c r="AY1119" s="36"/>
      <c r="AZ1119" s="36"/>
      <c r="BA1119" s="36"/>
      <c r="GH1119" s="55"/>
      <c r="KD1119" s="15"/>
      <c r="KE1119" s="51"/>
      <c r="KH1119" s="15"/>
      <c r="KI1119" s="15"/>
    </row>
    <row r="1120" spans="3:295">
      <c r="C1120" s="1"/>
      <c r="AE1120" s="51"/>
      <c r="AO1120" s="49"/>
      <c r="AQ1120" s="36"/>
      <c r="AR1120" s="36"/>
      <c r="AS1120" s="36"/>
      <c r="AT1120" s="36"/>
      <c r="AU1120" s="36"/>
      <c r="AV1120" s="36"/>
      <c r="AW1120" s="36"/>
      <c r="AX1120" s="36"/>
      <c r="AY1120" s="36"/>
      <c r="AZ1120" s="36"/>
      <c r="BA1120" s="36"/>
      <c r="GH1120" s="55"/>
      <c r="KD1120" s="15"/>
      <c r="KE1120" s="51"/>
      <c r="KH1120" s="15"/>
      <c r="KI1120" s="15"/>
    </row>
    <row r="1121" spans="3:295">
      <c r="C1121" s="1"/>
      <c r="AE1121" s="51"/>
      <c r="AO1121" s="49"/>
      <c r="AQ1121" s="36"/>
      <c r="AR1121" s="36"/>
      <c r="AS1121" s="36"/>
      <c r="AT1121" s="36"/>
      <c r="AU1121" s="36"/>
      <c r="AV1121" s="36"/>
      <c r="AW1121" s="36"/>
      <c r="AX1121" s="36"/>
      <c r="AY1121" s="36"/>
      <c r="AZ1121" s="36"/>
      <c r="BA1121" s="36"/>
      <c r="GH1121" s="55"/>
      <c r="KD1121" s="15"/>
      <c r="KE1121" s="51"/>
      <c r="KH1121" s="15"/>
      <c r="KI1121" s="15"/>
    </row>
    <row r="1122" spans="3:295">
      <c r="C1122" s="1"/>
      <c r="AE1122" s="51"/>
      <c r="AO1122" s="49"/>
      <c r="AQ1122" s="36"/>
      <c r="AR1122" s="36"/>
      <c r="AS1122" s="36"/>
      <c r="AT1122" s="36"/>
      <c r="AU1122" s="36"/>
      <c r="AV1122" s="36"/>
      <c r="AW1122" s="36"/>
      <c r="AX1122" s="36"/>
      <c r="AY1122" s="36"/>
      <c r="AZ1122" s="36"/>
      <c r="BA1122" s="36"/>
      <c r="GH1122" s="55"/>
      <c r="KD1122" s="15"/>
      <c r="KE1122" s="51"/>
      <c r="KH1122" s="15"/>
      <c r="KI1122" s="15"/>
    </row>
    <row r="1123" spans="3:295">
      <c r="C1123" s="1"/>
      <c r="AE1123" s="51"/>
      <c r="AO1123" s="49"/>
      <c r="AQ1123" s="36"/>
      <c r="AR1123" s="36"/>
      <c r="AS1123" s="36"/>
      <c r="AT1123" s="36"/>
      <c r="AU1123" s="36"/>
      <c r="AV1123" s="36"/>
      <c r="AW1123" s="36"/>
      <c r="AX1123" s="36"/>
      <c r="AY1123" s="36"/>
      <c r="AZ1123" s="36"/>
      <c r="BA1123" s="36"/>
      <c r="GH1123" s="55"/>
      <c r="KD1123" s="15"/>
      <c r="KE1123" s="51"/>
      <c r="KH1123" s="15"/>
      <c r="KI1123" s="15"/>
    </row>
    <row r="1124" spans="3:295">
      <c r="C1124" s="1"/>
      <c r="AE1124" s="51"/>
      <c r="AO1124" s="49"/>
      <c r="AQ1124" s="36"/>
      <c r="AR1124" s="36"/>
      <c r="AS1124" s="36"/>
      <c r="AT1124" s="36"/>
      <c r="AU1124" s="36"/>
      <c r="AV1124" s="36"/>
      <c r="AW1124" s="36"/>
      <c r="AX1124" s="36"/>
      <c r="AY1124" s="36"/>
      <c r="AZ1124" s="36"/>
      <c r="BA1124" s="36"/>
      <c r="GH1124" s="55"/>
      <c r="KD1124" s="15"/>
      <c r="KE1124" s="51"/>
      <c r="KH1124" s="15"/>
      <c r="KI1124" s="15"/>
    </row>
    <row r="1125" spans="3:295">
      <c r="C1125" s="1"/>
      <c r="AE1125" s="51"/>
      <c r="AO1125" s="49"/>
      <c r="AQ1125" s="36"/>
      <c r="AR1125" s="36"/>
      <c r="AS1125" s="36"/>
      <c r="AT1125" s="36"/>
      <c r="AU1125" s="36"/>
      <c r="AV1125" s="36"/>
      <c r="AW1125" s="36"/>
      <c r="AX1125" s="36"/>
      <c r="AY1125" s="36"/>
      <c r="AZ1125" s="36"/>
      <c r="BA1125" s="36"/>
      <c r="GH1125" s="55"/>
      <c r="KD1125" s="15"/>
      <c r="KE1125" s="51"/>
      <c r="KH1125" s="15"/>
      <c r="KI1125" s="15"/>
    </row>
    <row r="1126" spans="3:295">
      <c r="C1126" s="1"/>
      <c r="AE1126" s="51"/>
      <c r="AO1126" s="49"/>
      <c r="AQ1126" s="36"/>
      <c r="AR1126" s="36"/>
      <c r="AS1126" s="36"/>
      <c r="AT1126" s="36"/>
      <c r="AU1126" s="36"/>
      <c r="AV1126" s="36"/>
      <c r="AW1126" s="36"/>
      <c r="AX1126" s="36"/>
      <c r="AY1126" s="36"/>
      <c r="AZ1126" s="36"/>
      <c r="BA1126" s="36"/>
      <c r="GH1126" s="55"/>
      <c r="KD1126" s="15"/>
      <c r="KE1126" s="51"/>
      <c r="KH1126" s="15"/>
      <c r="KI1126" s="15"/>
    </row>
    <row r="1127" spans="3:295">
      <c r="C1127" s="1"/>
      <c r="AE1127" s="51"/>
      <c r="AO1127" s="49"/>
      <c r="AQ1127" s="36"/>
      <c r="AR1127" s="36"/>
      <c r="AS1127" s="36"/>
      <c r="AT1127" s="36"/>
      <c r="AU1127" s="36"/>
      <c r="AV1127" s="36"/>
      <c r="AW1127" s="36"/>
      <c r="AX1127" s="36"/>
      <c r="AY1127" s="36"/>
      <c r="AZ1127" s="36"/>
      <c r="BA1127" s="36"/>
      <c r="GH1127" s="55"/>
      <c r="KD1127" s="15"/>
      <c r="KE1127" s="51"/>
      <c r="KH1127" s="15"/>
      <c r="KI1127" s="15"/>
    </row>
    <row r="1128" spans="3:295">
      <c r="C1128" s="1"/>
      <c r="AE1128" s="51"/>
      <c r="AO1128" s="49"/>
      <c r="AQ1128" s="36"/>
      <c r="AR1128" s="36"/>
      <c r="AS1128" s="36"/>
      <c r="AT1128" s="36"/>
      <c r="AU1128" s="36"/>
      <c r="AV1128" s="36"/>
      <c r="AW1128" s="36"/>
      <c r="AX1128" s="36"/>
      <c r="AY1128" s="36"/>
      <c r="AZ1128" s="36"/>
      <c r="BA1128" s="36"/>
      <c r="GH1128" s="55"/>
      <c r="KD1128" s="15"/>
      <c r="KE1128" s="51"/>
      <c r="KH1128" s="15"/>
      <c r="KI1128" s="15"/>
    </row>
    <row r="1129" spans="3:295">
      <c r="C1129" s="1"/>
      <c r="AE1129" s="51"/>
      <c r="AO1129" s="49"/>
      <c r="AQ1129" s="36"/>
      <c r="AR1129" s="36"/>
      <c r="AS1129" s="36"/>
      <c r="AT1129" s="36"/>
      <c r="AU1129" s="36"/>
      <c r="AV1129" s="36"/>
      <c r="AW1129" s="36"/>
      <c r="AX1129" s="36"/>
      <c r="AY1129" s="36"/>
      <c r="AZ1129" s="36"/>
      <c r="BA1129" s="36"/>
      <c r="GH1129" s="55"/>
      <c r="KD1129" s="15"/>
      <c r="KE1129" s="51"/>
      <c r="KH1129" s="15"/>
      <c r="KI1129" s="15"/>
    </row>
    <row r="1130" spans="3:295">
      <c r="C1130" s="1"/>
      <c r="AE1130" s="51"/>
      <c r="AO1130" s="49"/>
      <c r="AQ1130" s="36"/>
      <c r="AR1130" s="36"/>
      <c r="AS1130" s="36"/>
      <c r="AT1130" s="36"/>
      <c r="AU1130" s="36"/>
      <c r="AV1130" s="36"/>
      <c r="AW1130" s="36"/>
      <c r="AX1130" s="36"/>
      <c r="AY1130" s="36"/>
      <c r="AZ1130" s="36"/>
      <c r="BA1130" s="36"/>
      <c r="GH1130" s="55"/>
      <c r="KD1130" s="15"/>
      <c r="KE1130" s="51"/>
      <c r="KH1130" s="15"/>
      <c r="KI1130" s="15"/>
    </row>
  </sheetData>
  <phoneticPr fontId="27" type="noConversion"/>
  <dataValidations count="21">
    <dataValidation allowBlank="1" showInputMessage="1" errorTitle="Invalid Value" error="Value is invalid for this file. Enter a valid value." sqref="B1:B3 A1"/>
    <dataValidation type="list" showInputMessage="1" showErrorMessage="1" errorTitle="Invalid Value" error="Value entered is invalid. Enter valid value." sqref="CM67:CM1048576 CR67:CR1048576 CJ42 CO42 CN43:CN53 CN41 CI41 CM38:CM40 CN35:CN37 CI35:CI37 CR38:CR40 CI43:CI53 CM5:CM34 CR5:CR34 CO62:CO63 CJ62:CJ63 CM64 CN57:CN58 CI57:CI58 CJ59 CN60:CN61 CO59 CI60:CI61 CO54:CO56 CJ54:CJ56 CO65:CO66 CJ65:CJ66">
      <formula1>"Y,N"</formula1>
    </dataValidation>
    <dataValidation type="list" allowBlank="1" showInputMessage="1" showErrorMessage="1" errorTitle="Invalid Value" error="Value entered is invalid. Enter valid value." sqref="CT65:CT1048576 CQ42 CP43:CP53 CP41 CP35:CP37 CT38:CT40 CT5:CT34 CQ62:CQ63 CO64:CT64 CQ59 CP57:CP58 CT59 CP60:CP61 CQ54:CQ56">
      <formula1>"LIFO,PRORATE,UNIT"</formula1>
    </dataValidation>
    <dataValidation type="list" allowBlank="1" showInputMessage="1" showErrorMessage="1" errorTitle="Invalid Value" sqref="CN67:CN1048576 CK42 CJ43:CJ53 CJ41 CJ35:CJ37 CN5:CN34 CK62:CK63 CK59 CI64 CJ57:CJ58 CJ60:CJ61 CK54:CK56 CK65:CK66">
      <formula1>"S,R,E"</formula1>
    </dataValidation>
    <dataValidation type="list" allowBlank="1" showInputMessage="1" showErrorMessage="1" errorTitle="Invalid Message" error="Value entered is invalid. Enter valid value." sqref="BV65:BV1048576 BV42 BU43:BU53 BU41 BV38:BV40 BU35:BU37 BV5:BV34 BV59 BU60:BU61 BT64 BV62:BV63 BU57:BU58 BV54:BV56">
      <formula1>"GOODS, SERVICES"</formula1>
    </dataValidation>
    <dataValidation type="list" allowBlank="1" showInputMessage="1" showErrorMessage="1" errorTitle="Invalid Value" error="Value entered is invalid. Enter valid value." sqref="FH65:FH1048576 FD43:FD53 FG41:FG42 FK39:FK40 FH38 FD35:FD37 FH5:FH34 FG60:FG61 FH59 ER64 FH62:FH63 FD57:FD58 FE54:FE56">
      <formula1>"N, PRI"</formula1>
    </dataValidation>
    <dataValidation type="list" allowBlank="1" showInputMessage="1" showErrorMessage="1" errorTitle="Invalid Value" error="Value entered is invalid. Enter valid value." sqref="GF65:GF1048576 GB43:GB53 GE41:GE42 GI39:GI40 GF38 GB35:GB37 GF5:GF34 GE60:GE61 GF59 EW64 GF62:GF63 GB57:GB58 GC54:GC56">
      <formula1>"Y, N"</formula1>
    </dataValidation>
    <dataValidation type="list" allowBlank="1" showInputMessage="1" showErrorMessage="1" errorTitle="Invalid value" error="Value entered is invalid. Enter valid value." sqref="GQ65:GS1048576 GO42 GO41:GP41 GR38 GS39:GU40 GP38 GL35:GN37 GQ5:GS34 GR62:GR63 GP62:GP63 GQ64 FG64:FI64 GL57:GN58 GP59 GR59 GO60:GP61 GQ49:GS56 GL43:GN48">
      <formula1>"Y,N"</formula1>
    </dataValidation>
    <dataValidation type="list" allowBlank="1" showInputMessage="1" showErrorMessage="1" errorTitle="Invalid Value" error="Value entered is invalid. Enter valid value." sqref="CU59:CU1048576 CR42 CQ43:CQ53 CQ41 CQ35:CQ37 CU5:CU34 CQ60:CQ61 CQ57:CQ58 CR54:CR56">
      <formula1>"LIFO,FIFO,PRORATE"</formula1>
    </dataValidation>
    <dataValidation type="list" allowBlank="1" showInputMessage="1" showErrorMessage="1" errorTitle="Invalid value" error="Value entered is invalid. Enter valid value." sqref="AA5:AA1048576">
      <formula1>"LINE,TAX,FREIGHT,CHARGES"</formula1>
    </dataValidation>
    <dataValidation type="list" showInputMessage="1" showErrorMessage="1" errorTitle="Invalid YesNo Value" error="Enter N, Y or leave it blank." sqref="GH67:GH1130 GH5:GH34">
      <formula1>",N,Y"</formula1>
    </dataValidation>
    <dataValidation allowBlank="1" showInputMessage="1" errorTitle="Invalid value" error="Value entered is invalid. Enter valid value." sqref="AA1:AA4"/>
    <dataValidation showInputMessage="1" errorTitle="Invalid Value" error="Value entered is invalid. Enter valid value." sqref="CR1:CR4 CM1:CM4"/>
    <dataValidation allowBlank="1" showInputMessage="1" errorTitle="Invalid Value" sqref="CN1:CN4"/>
    <dataValidation allowBlank="1" showInputMessage="1" errorTitle="Invalid Value" error="Value entered is invalid. Enter valid value." sqref="CT1:CU4"/>
    <dataValidation type="whole" operator="greaterThan" allowBlank="1" showInputMessage="1" showErrorMessage="1" sqref="Q1:R3">
      <formula1>0</formula1>
    </dataValidation>
    <dataValidation type="textLength" allowBlank="1" showInputMessage="1" showErrorMessage="1" sqref="E1:E3">
      <formula1>1</formula1>
      <formula2>80</formula2>
    </dataValidation>
    <dataValidation type="textLength" allowBlank="1" showInputMessage="1" showErrorMessage="1" sqref="D1:D3">
      <formula1>1</formula1>
      <formula2>15</formula2>
    </dataValidation>
    <dataValidation type="textLength" allowBlank="1" showInputMessage="1" showErrorMessage="1" sqref="C1:C2">
      <formula1>1</formula1>
      <formula2>30</formula2>
    </dataValidation>
    <dataValidation type="list" showInputMessage="1" showErrorMessage="1" errorTitle="Invalid Value" error="Value entered is invalid. Enter valid value." sqref="CH64">
      <formula1>"YES,NO"</formula1>
    </dataValidation>
    <dataValidation type="list" allowBlank="1" showErrorMessage="1" sqref="LR5:LR1130">
      <formula1>"S"</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U64"/>
  <sheetViews>
    <sheetView topLeftCell="B1" workbookViewId="0"/>
  </sheetViews>
  <sheetFormatPr defaultRowHeight="14.4"/>
  <cols>
    <col min="1" max="1" width="22.6640625" style="49" hidden="1" customWidth="1"/>
    <col min="2" max="2" width="75.5546875" style="2" bestFit="1" customWidth="1"/>
    <col min="3" max="3" width="15.33203125" bestFit="1" customWidth="1"/>
    <col min="4" max="5" width="8.33203125" style="18" bestFit="1" customWidth="1"/>
    <col min="6" max="6" width="38" style="18" bestFit="1" customWidth="1"/>
    <col min="7" max="7" width="33.5546875" bestFit="1" customWidth="1"/>
    <col min="8" max="11" width="36.33203125" bestFit="1" customWidth="1"/>
    <col min="12" max="13" width="36.33203125" style="2" bestFit="1" customWidth="1"/>
    <col min="14" max="16" width="36.33203125" bestFit="1" customWidth="1"/>
    <col min="17" max="22" width="37.44140625" bestFit="1" customWidth="1"/>
    <col min="23" max="31" width="30.44140625" bestFit="1" customWidth="1"/>
    <col min="32" max="52" width="31.5546875" bestFit="1" customWidth="1"/>
    <col min="53" max="53" width="10.5546875" bestFit="1" customWidth="1"/>
    <col min="54" max="62" width="22.33203125" bestFit="1" customWidth="1"/>
    <col min="63" max="83" width="23.44140625" bestFit="1" customWidth="1"/>
    <col min="84" max="84" width="38.6640625" bestFit="1" customWidth="1"/>
    <col min="85" max="87" width="41.88671875" bestFit="1" customWidth="1"/>
    <col min="88" max="93" width="41.33203125" bestFit="1" customWidth="1"/>
    <col min="94" max="99" width="42.5546875" bestFit="1" customWidth="1"/>
  </cols>
  <sheetData>
    <row r="1" spans="1:99" s="3" customFormat="1" ht="5.0999999999999996" customHeight="1">
      <c r="A1" s="41"/>
      <c r="B1" s="33"/>
      <c r="D1" s="10"/>
      <c r="E1" s="10"/>
      <c r="T1" s="10"/>
    </row>
    <row r="2" spans="1:99" s="3" customFormat="1" ht="18" customHeight="1">
      <c r="A2" s="59"/>
      <c r="B2" s="4" t="s">
        <v>183</v>
      </c>
      <c r="D2" s="10"/>
      <c r="E2" s="10"/>
      <c r="T2" s="10"/>
    </row>
    <row r="3" spans="1:99" s="3" customFormat="1" ht="18" customHeight="1">
      <c r="A3" s="59"/>
      <c r="B3" s="11" t="s">
        <v>179</v>
      </c>
      <c r="C3" s="14"/>
      <c r="D3" s="19"/>
      <c r="E3" s="10"/>
      <c r="T3" s="10"/>
    </row>
    <row r="4" spans="1:99" s="12" customFormat="1" ht="13.2">
      <c r="A4" s="12" t="s">
        <v>443</v>
      </c>
      <c r="B4" s="12" t="s">
        <v>428</v>
      </c>
      <c r="C4" s="12" t="s">
        <v>191</v>
      </c>
      <c r="D4" s="17" t="s">
        <v>223</v>
      </c>
      <c r="E4" s="17" t="s">
        <v>192</v>
      </c>
      <c r="F4" s="12" t="s">
        <v>13</v>
      </c>
      <c r="G4" s="12" t="s">
        <v>228</v>
      </c>
      <c r="H4" s="12" t="s">
        <v>229</v>
      </c>
      <c r="I4" s="12" t="s">
        <v>230</v>
      </c>
      <c r="J4" s="12" t="s">
        <v>231</v>
      </c>
      <c r="K4" s="12" t="s">
        <v>232</v>
      </c>
      <c r="L4" s="12" t="s">
        <v>233</v>
      </c>
      <c r="M4" s="12" t="s">
        <v>234</v>
      </c>
      <c r="N4" s="12" t="s">
        <v>235</v>
      </c>
      <c r="O4" s="12" t="s">
        <v>236</v>
      </c>
      <c r="P4" s="12" t="s">
        <v>237</v>
      </c>
      <c r="Q4" s="12" t="s">
        <v>238</v>
      </c>
      <c r="R4" s="12" t="s">
        <v>239</v>
      </c>
      <c r="S4" s="12" t="s">
        <v>240</v>
      </c>
      <c r="T4" s="12" t="s">
        <v>241</v>
      </c>
      <c r="U4" s="12" t="s">
        <v>242</v>
      </c>
      <c r="V4" s="12" t="s">
        <v>243</v>
      </c>
      <c r="W4" s="12" t="s">
        <v>193</v>
      </c>
      <c r="X4" s="12" t="s">
        <v>194</v>
      </c>
      <c r="Y4" s="12" t="s">
        <v>195</v>
      </c>
      <c r="Z4" s="12" t="s">
        <v>196</v>
      </c>
      <c r="AA4" s="12" t="s">
        <v>197</v>
      </c>
      <c r="AB4" s="12" t="s">
        <v>198</v>
      </c>
      <c r="AC4" s="12" t="s">
        <v>199</v>
      </c>
      <c r="AD4" s="12" t="s">
        <v>200</v>
      </c>
      <c r="AE4" s="12" t="s">
        <v>201</v>
      </c>
      <c r="AF4" s="12" t="s">
        <v>202</v>
      </c>
      <c r="AG4" s="12" t="s">
        <v>203</v>
      </c>
      <c r="AH4" s="12" t="s">
        <v>204</v>
      </c>
      <c r="AI4" s="12" t="s">
        <v>205</v>
      </c>
      <c r="AJ4" s="12" t="s">
        <v>206</v>
      </c>
      <c r="AK4" s="12" t="s">
        <v>207</v>
      </c>
      <c r="AL4" s="12" t="s">
        <v>208</v>
      </c>
      <c r="AM4" s="12" t="s">
        <v>209</v>
      </c>
      <c r="AN4" s="12" t="s">
        <v>210</v>
      </c>
      <c r="AO4" s="12" t="s">
        <v>211</v>
      </c>
      <c r="AP4" s="12" t="s">
        <v>212</v>
      </c>
      <c r="AQ4" s="12" t="s">
        <v>213</v>
      </c>
      <c r="AR4" s="12" t="s">
        <v>214</v>
      </c>
      <c r="AS4" s="12" t="s">
        <v>215</v>
      </c>
      <c r="AT4" s="12" t="s">
        <v>216</v>
      </c>
      <c r="AU4" s="12" t="s">
        <v>217</v>
      </c>
      <c r="AV4" s="12" t="s">
        <v>218</v>
      </c>
      <c r="AW4" s="12" t="s">
        <v>219</v>
      </c>
      <c r="AX4" s="12" t="s">
        <v>220</v>
      </c>
      <c r="AY4" s="12" t="s">
        <v>221</v>
      </c>
      <c r="AZ4" s="12" t="s">
        <v>222</v>
      </c>
      <c r="BA4" s="12" t="s">
        <v>227</v>
      </c>
      <c r="BB4" s="12" t="s">
        <v>131</v>
      </c>
      <c r="BC4" s="12" t="s">
        <v>132</v>
      </c>
      <c r="BD4" s="12" t="s">
        <v>133</v>
      </c>
      <c r="BE4" s="12" t="s">
        <v>134</v>
      </c>
      <c r="BF4" s="12" t="s">
        <v>135</v>
      </c>
      <c r="BG4" s="12" t="s">
        <v>136</v>
      </c>
      <c r="BH4" s="12" t="s">
        <v>137</v>
      </c>
      <c r="BI4" s="12" t="s">
        <v>138</v>
      </c>
      <c r="BJ4" s="12" t="s">
        <v>139</v>
      </c>
      <c r="BK4" s="12" t="s">
        <v>140</v>
      </c>
      <c r="BL4" s="12" t="s">
        <v>141</v>
      </c>
      <c r="BM4" s="12" t="s">
        <v>142</v>
      </c>
      <c r="BN4" s="12" t="s">
        <v>143</v>
      </c>
      <c r="BO4" s="12" t="s">
        <v>144</v>
      </c>
      <c r="BP4" s="12" t="s">
        <v>145</v>
      </c>
      <c r="BQ4" s="12" t="s">
        <v>146</v>
      </c>
      <c r="BR4" s="12" t="s">
        <v>147</v>
      </c>
      <c r="BS4" s="12" t="s">
        <v>148</v>
      </c>
      <c r="BT4" s="12" t="s">
        <v>149</v>
      </c>
      <c r="BU4" s="12" t="s">
        <v>150</v>
      </c>
      <c r="BV4" s="12" t="s">
        <v>151</v>
      </c>
      <c r="BW4" s="12" t="s">
        <v>152</v>
      </c>
      <c r="BX4" s="12" t="s">
        <v>153</v>
      </c>
      <c r="BY4" s="12" t="s">
        <v>154</v>
      </c>
      <c r="BZ4" s="12" t="s">
        <v>155</v>
      </c>
      <c r="CA4" s="12" t="s">
        <v>156</v>
      </c>
      <c r="CB4" s="12" t="s">
        <v>157</v>
      </c>
      <c r="CC4" s="12" t="s">
        <v>158</v>
      </c>
      <c r="CD4" s="12" t="s">
        <v>159</v>
      </c>
      <c r="CE4" s="12" t="s">
        <v>160</v>
      </c>
      <c r="CF4" s="12" t="s">
        <v>276</v>
      </c>
      <c r="CG4" s="13" t="s">
        <v>277</v>
      </c>
      <c r="CH4" s="13" t="s">
        <v>278</v>
      </c>
      <c r="CI4" s="13" t="s">
        <v>279</v>
      </c>
      <c r="CJ4" s="13" t="s">
        <v>280</v>
      </c>
      <c r="CK4" s="13" t="s">
        <v>281</v>
      </c>
      <c r="CL4" s="13" t="s">
        <v>282</v>
      </c>
      <c r="CM4" s="13" t="s">
        <v>283</v>
      </c>
      <c r="CN4" s="13" t="s">
        <v>284</v>
      </c>
      <c r="CO4" s="13" t="s">
        <v>285</v>
      </c>
      <c r="CP4" s="13" t="s">
        <v>286</v>
      </c>
      <c r="CQ4" s="13" t="s">
        <v>287</v>
      </c>
      <c r="CR4" s="13" t="s">
        <v>288</v>
      </c>
      <c r="CS4" s="13" t="s">
        <v>289</v>
      </c>
      <c r="CT4" s="13" t="s">
        <v>290</v>
      </c>
      <c r="CU4" s="13" t="s">
        <v>291</v>
      </c>
    </row>
    <row r="5" spans="1:99" s="1" customFormat="1">
      <c r="A5" s="49" t="str">
        <f>""</f>
        <v/>
      </c>
      <c r="B5" s="49" t="s">
        <v>430</v>
      </c>
      <c r="C5" s="1" t="s">
        <v>574</v>
      </c>
      <c r="D5" s="18"/>
      <c r="E5" s="18">
        <v>100</v>
      </c>
      <c r="F5" s="18"/>
      <c r="G5" s="1" t="s">
        <v>455</v>
      </c>
      <c r="H5" s="1">
        <v>52519</v>
      </c>
      <c r="I5" s="1" t="s">
        <v>96</v>
      </c>
      <c r="J5" s="2">
        <v>100000019653855</v>
      </c>
      <c r="K5" s="1" t="s">
        <v>224</v>
      </c>
      <c r="L5" s="2"/>
      <c r="M5" s="2"/>
      <c r="W5" s="15" t="s">
        <v>575</v>
      </c>
      <c r="X5" s="15" t="s">
        <v>576</v>
      </c>
      <c r="Y5" s="15">
        <v>4110</v>
      </c>
      <c r="Z5" s="15" t="s">
        <v>577</v>
      </c>
      <c r="AA5" s="15" t="s">
        <v>576</v>
      </c>
    </row>
    <row r="6" spans="1:99" s="1" customFormat="1">
      <c r="A6" s="49"/>
      <c r="B6" s="49" t="s">
        <v>430</v>
      </c>
      <c r="C6" s="1" t="s">
        <v>574</v>
      </c>
      <c r="D6" s="18"/>
      <c r="E6" s="18">
        <v>100</v>
      </c>
      <c r="F6" s="18"/>
      <c r="G6" s="1" t="s">
        <v>455</v>
      </c>
      <c r="H6" s="1">
        <v>52519</v>
      </c>
      <c r="I6" s="1" t="s">
        <v>96</v>
      </c>
      <c r="J6" s="2">
        <v>100000019653855</v>
      </c>
      <c r="K6" s="1" t="s">
        <v>458</v>
      </c>
      <c r="L6" s="2"/>
      <c r="M6" s="2"/>
      <c r="W6" s="15" t="s">
        <v>575</v>
      </c>
      <c r="X6" s="15" t="s">
        <v>576</v>
      </c>
      <c r="Y6" s="15">
        <v>4110</v>
      </c>
      <c r="Z6" s="15" t="s">
        <v>577</v>
      </c>
      <c r="AA6" s="15" t="s">
        <v>576</v>
      </c>
    </row>
    <row r="7" spans="1:99" s="1" customFormat="1">
      <c r="A7" s="49"/>
      <c r="B7" s="49" t="s">
        <v>430</v>
      </c>
      <c r="C7" s="1" t="s">
        <v>574</v>
      </c>
      <c r="D7" s="18"/>
      <c r="E7" s="18">
        <v>100</v>
      </c>
      <c r="F7" s="18"/>
      <c r="G7" s="1" t="s">
        <v>455</v>
      </c>
      <c r="H7" s="1">
        <v>52519</v>
      </c>
      <c r="I7" s="1" t="s">
        <v>96</v>
      </c>
      <c r="J7" s="2">
        <v>100000019653855</v>
      </c>
      <c r="K7" s="1" t="s">
        <v>460</v>
      </c>
      <c r="L7" s="2"/>
      <c r="M7" s="2"/>
      <c r="W7" s="15" t="s">
        <v>575</v>
      </c>
      <c r="X7" s="15" t="s">
        <v>576</v>
      </c>
      <c r="Y7" s="15">
        <v>4110</v>
      </c>
      <c r="Z7" s="15" t="s">
        <v>577</v>
      </c>
      <c r="AA7" s="15" t="s">
        <v>576</v>
      </c>
    </row>
    <row r="8" spans="1:99" s="1" customFormat="1">
      <c r="A8" s="49"/>
      <c r="B8" s="49" t="s">
        <v>430</v>
      </c>
      <c r="C8" s="1" t="s">
        <v>574</v>
      </c>
      <c r="D8" s="18"/>
      <c r="E8" s="18">
        <v>100</v>
      </c>
      <c r="F8" s="18"/>
      <c r="G8" s="1" t="s">
        <v>455</v>
      </c>
      <c r="H8" s="1">
        <v>52519</v>
      </c>
      <c r="I8" s="1" t="s">
        <v>96</v>
      </c>
      <c r="J8" s="2">
        <v>100000019653855</v>
      </c>
      <c r="K8" s="1" t="s">
        <v>462</v>
      </c>
      <c r="L8" s="2"/>
      <c r="M8" s="2"/>
      <c r="W8" s="15" t="s">
        <v>575</v>
      </c>
      <c r="X8" s="15" t="s">
        <v>576</v>
      </c>
      <c r="Y8" s="15">
        <v>4110</v>
      </c>
      <c r="Z8" s="15" t="s">
        <v>577</v>
      </c>
      <c r="AA8" s="15" t="s">
        <v>576</v>
      </c>
    </row>
    <row r="9" spans="1:99" s="1" customFormat="1">
      <c r="A9" s="49"/>
      <c r="B9" s="49" t="s">
        <v>430</v>
      </c>
      <c r="C9" s="1" t="s">
        <v>574</v>
      </c>
      <c r="D9" s="18"/>
      <c r="E9" s="18">
        <v>100</v>
      </c>
      <c r="F9" s="18"/>
      <c r="G9" s="1" t="s">
        <v>455</v>
      </c>
      <c r="H9" s="1">
        <v>52519</v>
      </c>
      <c r="I9" s="1" t="s">
        <v>96</v>
      </c>
      <c r="J9" s="2">
        <v>100000019653855</v>
      </c>
      <c r="K9" s="1" t="s">
        <v>464</v>
      </c>
      <c r="L9" s="2"/>
      <c r="M9" s="2"/>
      <c r="W9" s="15" t="s">
        <v>575</v>
      </c>
      <c r="X9" s="15" t="s">
        <v>576</v>
      </c>
      <c r="Y9" s="15">
        <v>4110</v>
      </c>
      <c r="Z9" s="15" t="s">
        <v>577</v>
      </c>
      <c r="AA9" s="15" t="s">
        <v>576</v>
      </c>
    </row>
    <row r="10" spans="1:99" s="1" customFormat="1">
      <c r="A10" s="49"/>
      <c r="B10" s="49" t="s">
        <v>430</v>
      </c>
      <c r="C10" s="1" t="s">
        <v>574</v>
      </c>
      <c r="D10" s="18"/>
      <c r="E10" s="18">
        <v>100</v>
      </c>
      <c r="F10" s="18"/>
      <c r="G10" s="1" t="s">
        <v>455</v>
      </c>
      <c r="H10" s="1">
        <v>52519</v>
      </c>
      <c r="I10" s="1" t="s">
        <v>96</v>
      </c>
      <c r="J10" s="2">
        <v>100000019653855</v>
      </c>
      <c r="K10" s="1" t="s">
        <v>466</v>
      </c>
      <c r="L10" s="2"/>
      <c r="M10" s="2"/>
      <c r="W10" s="15" t="s">
        <v>575</v>
      </c>
      <c r="X10" s="15" t="s">
        <v>576</v>
      </c>
      <c r="Y10" s="15">
        <v>4110</v>
      </c>
      <c r="Z10" s="15" t="s">
        <v>577</v>
      </c>
      <c r="AA10" s="15" t="s">
        <v>576</v>
      </c>
    </row>
    <row r="11" spans="1:99" s="1" customFormat="1">
      <c r="A11" s="49"/>
      <c r="B11" s="49" t="s">
        <v>430</v>
      </c>
      <c r="C11" s="1" t="s">
        <v>574</v>
      </c>
      <c r="D11" s="18"/>
      <c r="E11" s="18">
        <v>100</v>
      </c>
      <c r="F11" s="18"/>
      <c r="G11" s="1" t="s">
        <v>455</v>
      </c>
      <c r="H11" s="1">
        <v>52519</v>
      </c>
      <c r="I11" s="1" t="s">
        <v>96</v>
      </c>
      <c r="J11" s="2">
        <v>100000019653855</v>
      </c>
      <c r="K11" s="1" t="s">
        <v>468</v>
      </c>
      <c r="L11" s="2"/>
      <c r="M11" s="2"/>
      <c r="W11" s="15" t="s">
        <v>575</v>
      </c>
      <c r="X11" s="15" t="s">
        <v>576</v>
      </c>
      <c r="Y11" s="15">
        <v>4110</v>
      </c>
      <c r="Z11" s="15" t="s">
        <v>577</v>
      </c>
      <c r="AA11" s="15" t="s">
        <v>576</v>
      </c>
    </row>
    <row r="12" spans="1:99" s="1" customFormat="1">
      <c r="A12" s="49"/>
      <c r="B12" s="49" t="s">
        <v>430</v>
      </c>
      <c r="C12" s="1" t="s">
        <v>574</v>
      </c>
      <c r="D12" s="18"/>
      <c r="E12" s="18">
        <v>100</v>
      </c>
      <c r="F12" s="18"/>
      <c r="G12" s="1" t="s">
        <v>455</v>
      </c>
      <c r="H12" s="1">
        <v>52519</v>
      </c>
      <c r="I12" s="1" t="s">
        <v>96</v>
      </c>
      <c r="J12" s="2">
        <v>100000019653855</v>
      </c>
      <c r="K12" s="1" t="s">
        <v>470</v>
      </c>
      <c r="L12" s="2"/>
      <c r="M12" s="2"/>
      <c r="W12" s="15" t="s">
        <v>575</v>
      </c>
      <c r="X12" s="15" t="s">
        <v>576</v>
      </c>
      <c r="Y12" s="15">
        <v>4110</v>
      </c>
      <c r="Z12" s="15" t="s">
        <v>577</v>
      </c>
      <c r="AA12" s="15" t="s">
        <v>576</v>
      </c>
    </row>
    <row r="13" spans="1:99" s="1" customFormat="1">
      <c r="A13" s="49"/>
      <c r="B13" s="49" t="s">
        <v>430</v>
      </c>
      <c r="C13" s="1" t="s">
        <v>574</v>
      </c>
      <c r="D13" s="18"/>
      <c r="E13" s="18">
        <v>100</v>
      </c>
      <c r="F13" s="18"/>
      <c r="G13" s="1" t="s">
        <v>455</v>
      </c>
      <c r="H13" s="1">
        <v>52519</v>
      </c>
      <c r="I13" s="1" t="s">
        <v>96</v>
      </c>
      <c r="J13" s="2">
        <v>100000019653855</v>
      </c>
      <c r="K13" s="1" t="s">
        <v>472</v>
      </c>
      <c r="L13" s="2"/>
      <c r="M13" s="2"/>
      <c r="W13" s="15" t="s">
        <v>575</v>
      </c>
      <c r="X13" s="15" t="s">
        <v>576</v>
      </c>
      <c r="Y13" s="15">
        <v>4110</v>
      </c>
      <c r="Z13" s="15" t="s">
        <v>577</v>
      </c>
      <c r="AA13" s="15" t="s">
        <v>576</v>
      </c>
    </row>
    <row r="14" spans="1:99" s="1" customFormat="1">
      <c r="A14" s="49"/>
      <c r="B14" s="49" t="s">
        <v>430</v>
      </c>
      <c r="C14" s="1" t="s">
        <v>574</v>
      </c>
      <c r="D14" s="18"/>
      <c r="E14" s="18">
        <v>100</v>
      </c>
      <c r="F14" s="18"/>
      <c r="G14" s="1" t="s">
        <v>455</v>
      </c>
      <c r="H14" s="1">
        <v>52519</v>
      </c>
      <c r="I14" s="1" t="s">
        <v>96</v>
      </c>
      <c r="J14" s="2">
        <v>100000019653855</v>
      </c>
      <c r="K14" s="1" t="s">
        <v>474</v>
      </c>
      <c r="L14" s="2"/>
      <c r="M14" s="2"/>
      <c r="W14" s="15" t="s">
        <v>575</v>
      </c>
      <c r="X14" s="15" t="s">
        <v>576</v>
      </c>
      <c r="Y14" s="15">
        <v>4110</v>
      </c>
      <c r="Z14" s="15" t="s">
        <v>577</v>
      </c>
      <c r="AA14" s="15" t="s">
        <v>576</v>
      </c>
    </row>
    <row r="15" spans="1:99" s="1" customFormat="1">
      <c r="A15" s="49"/>
      <c r="B15" s="49" t="s">
        <v>430</v>
      </c>
      <c r="C15" s="1" t="s">
        <v>574</v>
      </c>
      <c r="D15" s="18"/>
      <c r="E15" s="18">
        <v>100</v>
      </c>
      <c r="F15" s="18"/>
      <c r="G15" s="1" t="s">
        <v>455</v>
      </c>
      <c r="H15" s="1">
        <v>52519</v>
      </c>
      <c r="I15" s="1" t="s">
        <v>96</v>
      </c>
      <c r="J15" s="2">
        <v>100000019653855</v>
      </c>
      <c r="K15" s="1" t="s">
        <v>476</v>
      </c>
      <c r="L15" s="2"/>
      <c r="M15" s="2"/>
      <c r="W15" s="15" t="s">
        <v>575</v>
      </c>
      <c r="X15" s="15" t="s">
        <v>576</v>
      </c>
      <c r="Y15" s="15">
        <v>4110</v>
      </c>
      <c r="Z15" s="15" t="s">
        <v>577</v>
      </c>
      <c r="AA15" s="15" t="s">
        <v>576</v>
      </c>
    </row>
    <row r="16" spans="1:99" s="1" customFormat="1">
      <c r="A16" s="49"/>
      <c r="B16" s="49" t="s">
        <v>430</v>
      </c>
      <c r="C16" s="1" t="s">
        <v>574</v>
      </c>
      <c r="D16" s="18"/>
      <c r="E16" s="18">
        <v>100</v>
      </c>
      <c r="F16" s="18"/>
      <c r="G16" s="1" t="s">
        <v>455</v>
      </c>
      <c r="H16" s="1">
        <v>52519</v>
      </c>
      <c r="I16" s="1" t="s">
        <v>96</v>
      </c>
      <c r="J16" s="2">
        <v>100000019653855</v>
      </c>
      <c r="K16" s="1" t="s">
        <v>478</v>
      </c>
      <c r="L16" s="2"/>
      <c r="M16" s="2"/>
      <c r="W16" s="15" t="s">
        <v>575</v>
      </c>
      <c r="X16" s="15" t="s">
        <v>576</v>
      </c>
      <c r="Y16" s="15">
        <v>4110</v>
      </c>
      <c r="Z16" s="15" t="s">
        <v>577</v>
      </c>
      <c r="AA16" s="15" t="s">
        <v>576</v>
      </c>
    </row>
    <row r="17" spans="1:27" s="1" customFormat="1">
      <c r="A17" s="49"/>
      <c r="B17" s="49" t="s">
        <v>430</v>
      </c>
      <c r="C17" s="1" t="s">
        <v>574</v>
      </c>
      <c r="D17" s="18"/>
      <c r="E17" s="18">
        <v>100</v>
      </c>
      <c r="F17" s="18"/>
      <c r="G17" s="1" t="s">
        <v>455</v>
      </c>
      <c r="H17" s="1">
        <v>52519</v>
      </c>
      <c r="I17" s="1" t="s">
        <v>96</v>
      </c>
      <c r="J17" s="2">
        <v>100000019653855</v>
      </c>
      <c r="K17" s="1" t="s">
        <v>480</v>
      </c>
      <c r="L17" s="2"/>
      <c r="M17" s="2"/>
      <c r="W17" s="15" t="s">
        <v>575</v>
      </c>
      <c r="X17" s="15" t="s">
        <v>576</v>
      </c>
      <c r="Y17" s="15">
        <v>4110</v>
      </c>
      <c r="Z17" s="15" t="s">
        <v>577</v>
      </c>
      <c r="AA17" s="15" t="s">
        <v>576</v>
      </c>
    </row>
    <row r="18" spans="1:27" s="1" customFormat="1">
      <c r="A18" s="49"/>
      <c r="B18" s="49" t="s">
        <v>430</v>
      </c>
      <c r="C18" s="1" t="s">
        <v>574</v>
      </c>
      <c r="D18" s="18"/>
      <c r="E18" s="18">
        <v>100</v>
      </c>
      <c r="F18" s="18"/>
      <c r="G18" s="1" t="s">
        <v>455</v>
      </c>
      <c r="H18" s="1">
        <v>52519</v>
      </c>
      <c r="I18" s="1" t="s">
        <v>96</v>
      </c>
      <c r="J18" s="2">
        <v>100000019653855</v>
      </c>
      <c r="K18" s="1" t="s">
        <v>482</v>
      </c>
      <c r="L18" s="2"/>
      <c r="M18" s="2"/>
      <c r="W18" s="15" t="s">
        <v>575</v>
      </c>
      <c r="X18" s="15" t="s">
        <v>576</v>
      </c>
      <c r="Y18" s="15">
        <v>4110</v>
      </c>
      <c r="Z18" s="15" t="s">
        <v>577</v>
      </c>
      <c r="AA18" s="15" t="s">
        <v>576</v>
      </c>
    </row>
    <row r="19" spans="1:27" s="1" customFormat="1">
      <c r="A19" s="49"/>
      <c r="B19" s="49" t="s">
        <v>430</v>
      </c>
      <c r="C19" s="1" t="s">
        <v>574</v>
      </c>
      <c r="D19" s="18"/>
      <c r="E19" s="18">
        <v>100</v>
      </c>
      <c r="F19" s="18"/>
      <c r="G19" s="1" t="s">
        <v>455</v>
      </c>
      <c r="H19" s="1">
        <v>52519</v>
      </c>
      <c r="I19" s="1" t="s">
        <v>96</v>
      </c>
      <c r="J19" s="2">
        <v>100000019653855</v>
      </c>
      <c r="K19" s="1" t="s">
        <v>483</v>
      </c>
      <c r="L19" s="2"/>
      <c r="M19" s="2"/>
      <c r="W19" s="15" t="s">
        <v>575</v>
      </c>
      <c r="X19" s="15" t="s">
        <v>576</v>
      </c>
      <c r="Y19" s="15">
        <v>4110</v>
      </c>
      <c r="Z19" s="15" t="s">
        <v>577</v>
      </c>
      <c r="AA19" s="15" t="s">
        <v>576</v>
      </c>
    </row>
    <row r="20" spans="1:27" s="1" customFormat="1">
      <c r="A20" s="49"/>
      <c r="B20" s="49" t="s">
        <v>430</v>
      </c>
      <c r="C20" s="1" t="s">
        <v>574</v>
      </c>
      <c r="D20" s="18"/>
      <c r="E20" s="18">
        <v>100</v>
      </c>
      <c r="F20" s="18"/>
      <c r="G20" s="1" t="s">
        <v>455</v>
      </c>
      <c r="H20" s="1">
        <v>52519</v>
      </c>
      <c r="I20" s="1" t="s">
        <v>96</v>
      </c>
      <c r="J20" s="2">
        <v>100000019653855</v>
      </c>
      <c r="K20" s="1" t="s">
        <v>484</v>
      </c>
      <c r="L20" s="2"/>
      <c r="M20" s="2"/>
      <c r="W20" s="15" t="s">
        <v>575</v>
      </c>
      <c r="X20" s="15" t="s">
        <v>576</v>
      </c>
      <c r="Y20" s="15">
        <v>4110</v>
      </c>
      <c r="Z20" s="15" t="s">
        <v>577</v>
      </c>
      <c r="AA20" s="15" t="s">
        <v>576</v>
      </c>
    </row>
    <row r="21" spans="1:27" s="1" customFormat="1">
      <c r="A21" s="49"/>
      <c r="B21" s="49" t="s">
        <v>430</v>
      </c>
      <c r="C21" s="1" t="s">
        <v>574</v>
      </c>
      <c r="D21" s="18"/>
      <c r="E21" s="18">
        <v>100</v>
      </c>
      <c r="F21" s="18"/>
      <c r="G21" s="1" t="s">
        <v>455</v>
      </c>
      <c r="H21" s="1">
        <v>52519</v>
      </c>
      <c r="I21" s="1" t="s">
        <v>96</v>
      </c>
      <c r="J21" s="2">
        <v>100000019653855</v>
      </c>
      <c r="K21" s="1" t="s">
        <v>485</v>
      </c>
      <c r="L21" s="2"/>
      <c r="M21" s="2"/>
      <c r="W21" s="15" t="s">
        <v>575</v>
      </c>
      <c r="X21" s="15" t="s">
        <v>576</v>
      </c>
      <c r="Y21" s="15">
        <v>4110</v>
      </c>
      <c r="Z21" s="15" t="s">
        <v>577</v>
      </c>
      <c r="AA21" s="15" t="s">
        <v>576</v>
      </c>
    </row>
    <row r="22" spans="1:27" s="1" customFormat="1">
      <c r="A22" s="49"/>
      <c r="B22" s="49" t="s">
        <v>430</v>
      </c>
      <c r="C22" s="1" t="s">
        <v>574</v>
      </c>
      <c r="D22" s="18"/>
      <c r="E22" s="18">
        <v>100</v>
      </c>
      <c r="F22" s="18"/>
      <c r="G22" s="1" t="s">
        <v>455</v>
      </c>
      <c r="H22" s="1">
        <v>52519</v>
      </c>
      <c r="I22" s="1" t="s">
        <v>96</v>
      </c>
      <c r="J22" s="2">
        <v>100000019653855</v>
      </c>
      <c r="K22" s="1" t="s">
        <v>486</v>
      </c>
      <c r="L22" s="2"/>
      <c r="M22" s="2"/>
      <c r="W22" s="15" t="s">
        <v>575</v>
      </c>
      <c r="X22" s="15" t="s">
        <v>576</v>
      </c>
      <c r="Y22" s="15">
        <v>4110</v>
      </c>
      <c r="Z22" s="15" t="s">
        <v>577</v>
      </c>
      <c r="AA22" s="15" t="s">
        <v>576</v>
      </c>
    </row>
    <row r="23" spans="1:27" s="1" customFormat="1">
      <c r="A23" s="49"/>
      <c r="B23" s="49" t="s">
        <v>430</v>
      </c>
      <c r="C23" s="1" t="s">
        <v>574</v>
      </c>
      <c r="D23" s="18"/>
      <c r="E23" s="18">
        <v>100</v>
      </c>
      <c r="F23" s="18"/>
      <c r="G23" s="1" t="s">
        <v>455</v>
      </c>
      <c r="H23" s="1">
        <v>52519</v>
      </c>
      <c r="I23" s="1" t="s">
        <v>96</v>
      </c>
      <c r="J23" s="2">
        <v>100000019653855</v>
      </c>
      <c r="K23" s="1" t="s">
        <v>487</v>
      </c>
      <c r="L23" s="2"/>
      <c r="M23" s="2"/>
      <c r="W23" s="15" t="s">
        <v>575</v>
      </c>
      <c r="X23" s="15" t="s">
        <v>576</v>
      </c>
      <c r="Y23" s="15">
        <v>4110</v>
      </c>
      <c r="Z23" s="15" t="s">
        <v>577</v>
      </c>
      <c r="AA23" s="15" t="s">
        <v>576</v>
      </c>
    </row>
    <row r="24" spans="1:27" s="1" customFormat="1">
      <c r="A24" s="49"/>
      <c r="B24" s="49" t="s">
        <v>430</v>
      </c>
      <c r="C24" s="1" t="s">
        <v>574</v>
      </c>
      <c r="D24" s="18"/>
      <c r="E24" s="18">
        <v>100</v>
      </c>
      <c r="F24" s="18"/>
      <c r="G24" s="1" t="s">
        <v>455</v>
      </c>
      <c r="H24" s="1">
        <v>52519</v>
      </c>
      <c r="I24" s="1" t="s">
        <v>96</v>
      </c>
      <c r="J24" s="2">
        <v>100000019653855</v>
      </c>
      <c r="K24" s="1" t="s">
        <v>488</v>
      </c>
      <c r="L24" s="2"/>
      <c r="M24" s="2"/>
      <c r="W24" s="15" t="s">
        <v>575</v>
      </c>
      <c r="X24" s="15" t="s">
        <v>576</v>
      </c>
      <c r="Y24" s="15">
        <v>4110</v>
      </c>
      <c r="Z24" s="15" t="s">
        <v>577</v>
      </c>
      <c r="AA24" s="15" t="s">
        <v>576</v>
      </c>
    </row>
    <row r="25" spans="1:27" s="1" customFormat="1">
      <c r="A25" s="49"/>
      <c r="B25" s="49" t="s">
        <v>430</v>
      </c>
      <c r="C25" s="1" t="s">
        <v>574</v>
      </c>
      <c r="D25" s="18"/>
      <c r="E25" s="18">
        <v>100</v>
      </c>
      <c r="F25" s="18"/>
      <c r="G25" s="1" t="s">
        <v>455</v>
      </c>
      <c r="H25" s="1">
        <v>52519</v>
      </c>
      <c r="I25" s="1" t="s">
        <v>96</v>
      </c>
      <c r="J25" s="2">
        <v>100000019653855</v>
      </c>
      <c r="K25" s="1" t="s">
        <v>489</v>
      </c>
      <c r="L25" s="2"/>
      <c r="M25" s="2"/>
      <c r="W25" s="15" t="s">
        <v>575</v>
      </c>
      <c r="X25" s="15" t="s">
        <v>576</v>
      </c>
      <c r="Y25" s="15">
        <v>4110</v>
      </c>
      <c r="Z25" s="15" t="s">
        <v>577</v>
      </c>
      <c r="AA25" s="15" t="s">
        <v>576</v>
      </c>
    </row>
    <row r="26" spans="1:27" s="1" customFormat="1">
      <c r="A26" s="49"/>
      <c r="B26" s="49" t="s">
        <v>430</v>
      </c>
      <c r="C26" s="1" t="s">
        <v>574</v>
      </c>
      <c r="D26" s="18"/>
      <c r="E26" s="18">
        <v>100</v>
      </c>
      <c r="F26" s="18"/>
      <c r="G26" s="1" t="s">
        <v>455</v>
      </c>
      <c r="H26" s="1">
        <v>52519</v>
      </c>
      <c r="I26" s="1" t="s">
        <v>96</v>
      </c>
      <c r="J26" s="2">
        <v>100000019653855</v>
      </c>
      <c r="K26" s="1" t="s">
        <v>490</v>
      </c>
      <c r="L26" s="2"/>
      <c r="M26" s="2"/>
      <c r="W26" s="15" t="s">
        <v>575</v>
      </c>
      <c r="X26" s="15" t="s">
        <v>576</v>
      </c>
      <c r="Y26" s="15">
        <v>4110</v>
      </c>
      <c r="Z26" s="15" t="s">
        <v>577</v>
      </c>
      <c r="AA26" s="15" t="s">
        <v>576</v>
      </c>
    </row>
    <row r="27" spans="1:27" s="1" customFormat="1">
      <c r="A27" s="49"/>
      <c r="B27" s="49" t="s">
        <v>430</v>
      </c>
      <c r="C27" s="1" t="s">
        <v>574</v>
      </c>
      <c r="D27" s="18"/>
      <c r="E27" s="18">
        <v>100</v>
      </c>
      <c r="F27" s="18"/>
      <c r="G27" s="1" t="s">
        <v>455</v>
      </c>
      <c r="H27" s="1">
        <v>52519</v>
      </c>
      <c r="I27" s="1" t="s">
        <v>96</v>
      </c>
      <c r="J27" s="2">
        <v>100000019653855</v>
      </c>
      <c r="K27" s="1" t="s">
        <v>491</v>
      </c>
      <c r="L27" s="2"/>
      <c r="M27" s="2"/>
      <c r="W27" s="15" t="s">
        <v>575</v>
      </c>
      <c r="X27" s="15" t="s">
        <v>576</v>
      </c>
      <c r="Y27" s="15">
        <v>4110</v>
      </c>
      <c r="Z27" s="15" t="s">
        <v>577</v>
      </c>
      <c r="AA27" s="15" t="s">
        <v>576</v>
      </c>
    </row>
    <row r="28" spans="1:27" s="1" customFormat="1">
      <c r="A28" s="49"/>
      <c r="B28" s="49" t="s">
        <v>430</v>
      </c>
      <c r="C28" s="1" t="s">
        <v>574</v>
      </c>
      <c r="D28" s="18"/>
      <c r="E28" s="18">
        <v>100</v>
      </c>
      <c r="F28" s="18"/>
      <c r="G28" s="1" t="s">
        <v>455</v>
      </c>
      <c r="H28" s="1">
        <v>52519</v>
      </c>
      <c r="I28" s="1" t="s">
        <v>96</v>
      </c>
      <c r="J28" s="2">
        <v>100000019653855</v>
      </c>
      <c r="K28" s="1" t="s">
        <v>492</v>
      </c>
      <c r="L28" s="2"/>
      <c r="M28" s="2"/>
      <c r="W28" s="15" t="s">
        <v>575</v>
      </c>
      <c r="X28" s="15" t="s">
        <v>576</v>
      </c>
      <c r="Y28" s="15">
        <v>4110</v>
      </c>
      <c r="Z28" s="15" t="s">
        <v>577</v>
      </c>
      <c r="AA28" s="15" t="s">
        <v>576</v>
      </c>
    </row>
    <row r="29" spans="1:27" s="1" customFormat="1">
      <c r="A29" s="49"/>
      <c r="B29" s="49" t="s">
        <v>430</v>
      </c>
      <c r="C29" s="1" t="s">
        <v>574</v>
      </c>
      <c r="D29" s="18"/>
      <c r="E29" s="18">
        <v>100</v>
      </c>
      <c r="F29" s="18"/>
      <c r="G29" s="1" t="s">
        <v>455</v>
      </c>
      <c r="H29" s="1">
        <v>52519</v>
      </c>
      <c r="I29" s="1" t="s">
        <v>96</v>
      </c>
      <c r="J29" s="2">
        <v>100000019653855</v>
      </c>
      <c r="K29" s="1" t="s">
        <v>493</v>
      </c>
      <c r="L29" s="2"/>
      <c r="M29" s="2"/>
      <c r="W29" s="15" t="s">
        <v>575</v>
      </c>
      <c r="X29" s="15" t="s">
        <v>576</v>
      </c>
      <c r="Y29" s="15">
        <v>4110</v>
      </c>
      <c r="Z29" s="15" t="s">
        <v>577</v>
      </c>
      <c r="AA29" s="15" t="s">
        <v>576</v>
      </c>
    </row>
    <row r="30" spans="1:27" s="1" customFormat="1">
      <c r="A30" s="49"/>
      <c r="B30" s="49" t="s">
        <v>430</v>
      </c>
      <c r="C30" s="1" t="s">
        <v>574</v>
      </c>
      <c r="D30" s="18"/>
      <c r="E30" s="18">
        <v>100</v>
      </c>
      <c r="F30" s="18"/>
      <c r="G30" s="1" t="s">
        <v>455</v>
      </c>
      <c r="H30" s="1">
        <v>52519</v>
      </c>
      <c r="I30" s="1" t="s">
        <v>96</v>
      </c>
      <c r="J30" s="2">
        <v>100000019653855</v>
      </c>
      <c r="K30" s="1" t="s">
        <v>494</v>
      </c>
      <c r="L30" s="2"/>
      <c r="M30" s="2"/>
      <c r="W30" s="15" t="s">
        <v>575</v>
      </c>
      <c r="X30" s="15" t="s">
        <v>576</v>
      </c>
      <c r="Y30" s="15">
        <v>4110</v>
      </c>
      <c r="Z30" s="15" t="s">
        <v>577</v>
      </c>
      <c r="AA30" s="15" t="s">
        <v>576</v>
      </c>
    </row>
    <row r="31" spans="1:27" s="1" customFormat="1">
      <c r="A31" s="49"/>
      <c r="B31" s="49" t="s">
        <v>430</v>
      </c>
      <c r="C31" s="1" t="s">
        <v>574</v>
      </c>
      <c r="D31" s="18"/>
      <c r="E31" s="18">
        <v>100</v>
      </c>
      <c r="F31" s="18"/>
      <c r="G31" s="1" t="s">
        <v>455</v>
      </c>
      <c r="H31" s="1">
        <v>52519</v>
      </c>
      <c r="I31" s="1" t="s">
        <v>96</v>
      </c>
      <c r="J31" s="2">
        <v>100000019653855</v>
      </c>
      <c r="K31" s="1" t="s">
        <v>495</v>
      </c>
      <c r="L31" s="2"/>
      <c r="M31" s="2"/>
      <c r="W31" s="15" t="s">
        <v>575</v>
      </c>
      <c r="X31" s="15" t="s">
        <v>576</v>
      </c>
      <c r="Y31" s="15">
        <v>4110</v>
      </c>
      <c r="Z31" s="15" t="s">
        <v>577</v>
      </c>
      <c r="AA31" s="15" t="s">
        <v>576</v>
      </c>
    </row>
    <row r="32" spans="1:27" s="1" customFormat="1">
      <c r="A32" s="49"/>
      <c r="B32" s="49" t="s">
        <v>430</v>
      </c>
      <c r="C32" s="1" t="s">
        <v>574</v>
      </c>
      <c r="D32" s="18"/>
      <c r="E32" s="18">
        <v>100</v>
      </c>
      <c r="F32" s="18"/>
      <c r="G32" s="1" t="s">
        <v>455</v>
      </c>
      <c r="H32" s="1">
        <v>52519</v>
      </c>
      <c r="I32" s="1" t="s">
        <v>96</v>
      </c>
      <c r="J32" s="2">
        <v>100000019653855</v>
      </c>
      <c r="K32" s="1" t="s">
        <v>496</v>
      </c>
      <c r="L32" s="2"/>
      <c r="M32" s="2"/>
      <c r="W32" s="15" t="s">
        <v>575</v>
      </c>
      <c r="X32" s="15" t="s">
        <v>576</v>
      </c>
      <c r="Y32" s="15">
        <v>4110</v>
      </c>
      <c r="Z32" s="15" t="s">
        <v>577</v>
      </c>
      <c r="AA32" s="15" t="s">
        <v>576</v>
      </c>
    </row>
    <row r="33" spans="1:58" s="1" customFormat="1">
      <c r="A33" s="49"/>
      <c r="B33" s="49" t="s">
        <v>430</v>
      </c>
      <c r="C33" s="1" t="s">
        <v>574</v>
      </c>
      <c r="D33" s="18"/>
      <c r="E33" s="18">
        <v>100</v>
      </c>
      <c r="F33" s="18"/>
      <c r="G33" s="1" t="s">
        <v>455</v>
      </c>
      <c r="H33" s="1">
        <v>52519</v>
      </c>
      <c r="I33" s="1" t="s">
        <v>96</v>
      </c>
      <c r="J33" s="2">
        <v>100000019653855</v>
      </c>
      <c r="K33" s="1" t="s">
        <v>497</v>
      </c>
      <c r="L33" s="2"/>
      <c r="M33" s="2"/>
      <c r="W33" s="15" t="s">
        <v>575</v>
      </c>
      <c r="X33" s="15" t="s">
        <v>576</v>
      </c>
      <c r="Y33" s="15">
        <v>4110</v>
      </c>
      <c r="Z33" s="15" t="s">
        <v>577</v>
      </c>
      <c r="AA33" s="15" t="s">
        <v>576</v>
      </c>
    </row>
    <row r="34" spans="1:58" s="1" customFormat="1">
      <c r="A34" s="49"/>
      <c r="B34" s="49" t="s">
        <v>430</v>
      </c>
      <c r="C34" s="1" t="s">
        <v>574</v>
      </c>
      <c r="D34" s="18"/>
      <c r="E34" s="18">
        <v>100</v>
      </c>
      <c r="F34" s="18"/>
      <c r="G34" s="1" t="s">
        <v>455</v>
      </c>
      <c r="H34" s="1">
        <v>52519</v>
      </c>
      <c r="I34" s="1" t="s">
        <v>96</v>
      </c>
      <c r="J34" s="2">
        <v>100000019653855</v>
      </c>
      <c r="K34" s="1" t="s">
        <v>498</v>
      </c>
      <c r="L34" s="2"/>
      <c r="M34" s="2"/>
      <c r="W34" s="15" t="s">
        <v>575</v>
      </c>
      <c r="X34" s="15" t="s">
        <v>576</v>
      </c>
      <c r="Y34" s="15">
        <v>4110</v>
      </c>
      <c r="Z34" s="15" t="s">
        <v>577</v>
      </c>
      <c r="AA34" s="15" t="s">
        <v>576</v>
      </c>
    </row>
    <row r="35" spans="1:58" s="1" customFormat="1">
      <c r="A35" s="34"/>
      <c r="B35" s="49" t="s">
        <v>430</v>
      </c>
      <c r="C35" s="1" t="s">
        <v>578</v>
      </c>
      <c r="D35" s="18"/>
      <c r="E35" s="18">
        <v>100</v>
      </c>
      <c r="F35" s="18"/>
      <c r="G35" s="1" t="s">
        <v>455</v>
      </c>
      <c r="H35" s="1">
        <v>52519</v>
      </c>
      <c r="I35" s="1" t="s">
        <v>96</v>
      </c>
      <c r="J35" s="2">
        <v>100000019653855</v>
      </c>
      <c r="K35" s="1" t="s">
        <v>224</v>
      </c>
      <c r="L35" s="2"/>
      <c r="M35" s="2"/>
      <c r="W35" s="15" t="s">
        <v>575</v>
      </c>
      <c r="X35" s="15" t="s">
        <v>576</v>
      </c>
      <c r="Y35" s="15">
        <v>1210</v>
      </c>
      <c r="Z35" s="15" t="s">
        <v>577</v>
      </c>
      <c r="AA35" s="15" t="s">
        <v>576</v>
      </c>
    </row>
    <row r="36" spans="1:58" s="50" customFormat="1">
      <c r="A36" s="34"/>
      <c r="B36" s="49" t="s">
        <v>430</v>
      </c>
      <c r="C36" s="50" t="s">
        <v>578</v>
      </c>
      <c r="D36" s="53"/>
      <c r="E36" s="53">
        <v>100</v>
      </c>
      <c r="F36" s="53"/>
      <c r="G36" s="36" t="s">
        <v>426</v>
      </c>
      <c r="H36" s="50" t="s">
        <v>543</v>
      </c>
      <c r="I36" s="36" t="s">
        <v>503</v>
      </c>
      <c r="J36" s="36">
        <v>3</v>
      </c>
      <c r="K36" s="36">
        <v>4</v>
      </c>
      <c r="L36" s="36">
        <v>5</v>
      </c>
      <c r="M36" s="36">
        <v>6</v>
      </c>
      <c r="N36" s="36">
        <v>7</v>
      </c>
      <c r="O36" s="36">
        <v>8</v>
      </c>
      <c r="P36" s="36">
        <v>9</v>
      </c>
      <c r="Q36" s="36">
        <v>10</v>
      </c>
      <c r="R36" s="36">
        <v>11</v>
      </c>
      <c r="S36" s="36">
        <v>12</v>
      </c>
      <c r="T36" s="36">
        <v>13</v>
      </c>
      <c r="U36" s="36">
        <v>14</v>
      </c>
      <c r="V36" s="36">
        <v>15</v>
      </c>
      <c r="W36" s="56" t="s">
        <v>575</v>
      </c>
      <c r="X36" s="56" t="s">
        <v>576</v>
      </c>
      <c r="Y36" s="56">
        <v>1210</v>
      </c>
      <c r="Z36" s="56" t="s">
        <v>577</v>
      </c>
      <c r="AA36" s="56" t="s">
        <v>576</v>
      </c>
    </row>
    <row r="37" spans="1:58" s="36" customFormat="1">
      <c r="B37" s="49" t="s">
        <v>430</v>
      </c>
      <c r="C37" s="36" t="s">
        <v>574</v>
      </c>
      <c r="D37" s="39"/>
      <c r="E37" s="39">
        <v>100</v>
      </c>
      <c r="F37" s="39"/>
      <c r="G37" s="36" t="s">
        <v>426</v>
      </c>
      <c r="H37" s="50" t="s">
        <v>543</v>
      </c>
      <c r="I37" s="36" t="s">
        <v>503</v>
      </c>
      <c r="J37" s="36">
        <v>3</v>
      </c>
      <c r="K37" s="36">
        <v>4</v>
      </c>
      <c r="L37" s="36">
        <v>5</v>
      </c>
      <c r="M37" s="36">
        <v>6</v>
      </c>
      <c r="N37" s="36">
        <v>7</v>
      </c>
      <c r="O37" s="36">
        <v>8</v>
      </c>
      <c r="P37" s="36">
        <v>9</v>
      </c>
      <c r="Q37" s="36">
        <v>10</v>
      </c>
      <c r="R37" s="36">
        <v>11</v>
      </c>
      <c r="S37" s="36">
        <v>12</v>
      </c>
      <c r="T37" s="36">
        <v>13</v>
      </c>
      <c r="U37" s="36">
        <v>14</v>
      </c>
      <c r="V37" s="36">
        <v>15</v>
      </c>
      <c r="W37" s="38" t="s">
        <v>575</v>
      </c>
      <c r="X37" s="38" t="s">
        <v>576</v>
      </c>
      <c r="Y37" s="38" t="s">
        <v>579</v>
      </c>
      <c r="Z37" s="38" t="s">
        <v>577</v>
      </c>
      <c r="AA37" s="38" t="s">
        <v>576</v>
      </c>
      <c r="BB37" s="38"/>
      <c r="BC37" s="38"/>
      <c r="BD37" s="38"/>
      <c r="BE37" s="38"/>
      <c r="BF37" s="38"/>
    </row>
    <row r="38" spans="1:58" s="36" customFormat="1">
      <c r="A38" s="34"/>
      <c r="B38" s="49" t="s">
        <v>430</v>
      </c>
      <c r="C38" s="36" t="s">
        <v>516</v>
      </c>
      <c r="D38" s="39"/>
      <c r="E38" s="39">
        <v>100</v>
      </c>
      <c r="F38" s="39"/>
      <c r="G38" s="36" t="s">
        <v>426</v>
      </c>
      <c r="H38" s="50" t="s">
        <v>544</v>
      </c>
      <c r="I38" s="36" t="s">
        <v>517</v>
      </c>
      <c r="J38" s="36">
        <v>3</v>
      </c>
      <c r="K38" s="36">
        <v>4</v>
      </c>
      <c r="L38" s="36">
        <v>5</v>
      </c>
      <c r="M38" s="36">
        <v>6</v>
      </c>
      <c r="N38" s="36">
        <v>7</v>
      </c>
      <c r="O38" s="36">
        <v>8</v>
      </c>
      <c r="P38" s="36">
        <v>9</v>
      </c>
      <c r="Q38" s="36">
        <v>10</v>
      </c>
      <c r="R38" s="36">
        <v>11</v>
      </c>
      <c r="S38" s="36">
        <v>12</v>
      </c>
      <c r="T38" s="36">
        <v>13</v>
      </c>
      <c r="U38" s="36">
        <v>14</v>
      </c>
      <c r="V38" s="36">
        <v>15</v>
      </c>
      <c r="W38" s="38" t="s">
        <v>575</v>
      </c>
      <c r="X38" s="38" t="s">
        <v>576</v>
      </c>
      <c r="Y38" s="38" t="s">
        <v>579</v>
      </c>
      <c r="Z38" s="38" t="s">
        <v>577</v>
      </c>
      <c r="AA38" s="38" t="s">
        <v>576</v>
      </c>
      <c r="BB38" s="38"/>
      <c r="BC38" s="38"/>
      <c r="BD38" s="38"/>
      <c r="BE38" s="38"/>
      <c r="BF38" s="38"/>
    </row>
    <row r="39" spans="1:58" s="36" customFormat="1">
      <c r="A39" s="34"/>
      <c r="B39" s="49" t="s">
        <v>430</v>
      </c>
      <c r="C39" s="36" t="s">
        <v>578</v>
      </c>
      <c r="D39" s="39"/>
      <c r="E39" s="39">
        <v>100</v>
      </c>
      <c r="F39" s="39"/>
      <c r="G39" s="36" t="s">
        <v>426</v>
      </c>
      <c r="H39" s="50" t="s">
        <v>545</v>
      </c>
      <c r="I39" s="36" t="s">
        <v>503</v>
      </c>
      <c r="J39" s="36">
        <v>3</v>
      </c>
      <c r="K39" s="36">
        <v>4</v>
      </c>
      <c r="L39" s="36">
        <v>5</v>
      </c>
      <c r="M39" s="36">
        <v>6</v>
      </c>
      <c r="N39" s="36">
        <v>7</v>
      </c>
      <c r="O39" s="36">
        <v>8</v>
      </c>
      <c r="P39" s="36">
        <v>9</v>
      </c>
      <c r="Q39" s="36">
        <v>10</v>
      </c>
      <c r="R39" s="36">
        <v>11</v>
      </c>
      <c r="S39" s="36">
        <v>12</v>
      </c>
      <c r="T39" s="36">
        <v>13</v>
      </c>
      <c r="U39" s="36">
        <v>14</v>
      </c>
      <c r="V39" s="36">
        <v>15</v>
      </c>
      <c r="W39" s="38" t="s">
        <v>575</v>
      </c>
      <c r="X39" s="38" t="s">
        <v>576</v>
      </c>
      <c r="Y39" s="38">
        <v>4110</v>
      </c>
      <c r="Z39" s="38" t="s">
        <v>577</v>
      </c>
      <c r="AA39" s="38" t="s">
        <v>576</v>
      </c>
      <c r="BB39" s="38"/>
      <c r="BC39" s="38"/>
      <c r="BD39" s="38"/>
      <c r="BE39" s="38"/>
      <c r="BF39" s="38"/>
    </row>
    <row r="40" spans="1:58" s="36" customFormat="1">
      <c r="A40" s="34"/>
      <c r="B40" s="49" t="s">
        <v>430</v>
      </c>
      <c r="C40" s="36" t="s">
        <v>528</v>
      </c>
      <c r="D40" s="39"/>
      <c r="E40" s="39">
        <v>100</v>
      </c>
      <c r="F40" s="39"/>
      <c r="G40" s="36" t="s">
        <v>426</v>
      </c>
      <c r="H40" s="50" t="s">
        <v>526</v>
      </c>
      <c r="I40" s="36" t="s">
        <v>529</v>
      </c>
      <c r="J40" s="36">
        <v>3</v>
      </c>
      <c r="K40" s="36">
        <v>4</v>
      </c>
      <c r="L40" s="36">
        <v>5</v>
      </c>
      <c r="M40" s="36">
        <v>6</v>
      </c>
      <c r="N40" s="36">
        <v>7</v>
      </c>
      <c r="O40" s="36">
        <v>8</v>
      </c>
      <c r="P40" s="36">
        <v>9</v>
      </c>
      <c r="Q40" s="36">
        <v>10</v>
      </c>
      <c r="R40" s="36">
        <v>11</v>
      </c>
      <c r="S40" s="36">
        <v>12</v>
      </c>
      <c r="T40" s="36">
        <v>13</v>
      </c>
      <c r="U40" s="36">
        <v>14</v>
      </c>
      <c r="V40" s="36">
        <v>15</v>
      </c>
      <c r="W40" s="38" t="s">
        <v>575</v>
      </c>
      <c r="X40" s="38" t="s">
        <v>576</v>
      </c>
      <c r="Y40" s="38" t="s">
        <v>579</v>
      </c>
      <c r="Z40" s="38" t="s">
        <v>577</v>
      </c>
      <c r="AA40" s="38" t="s">
        <v>576</v>
      </c>
      <c r="BB40" s="38"/>
      <c r="BC40" s="38"/>
      <c r="BD40" s="38"/>
      <c r="BE40" s="38"/>
      <c r="BF40" s="38"/>
    </row>
    <row r="41" spans="1:58" s="50" customFormat="1">
      <c r="A41" s="36"/>
      <c r="B41" s="49" t="s">
        <v>430</v>
      </c>
      <c r="C41" s="50" t="s">
        <v>574</v>
      </c>
      <c r="D41" s="53"/>
      <c r="E41" s="53">
        <v>60</v>
      </c>
      <c r="F41" s="53"/>
      <c r="G41" s="50" t="s">
        <v>426</v>
      </c>
      <c r="H41" s="50" t="s">
        <v>546</v>
      </c>
      <c r="I41" s="50" t="s">
        <v>503</v>
      </c>
      <c r="J41" s="50">
        <v>3</v>
      </c>
      <c r="K41" s="50">
        <v>4</v>
      </c>
      <c r="L41" s="50">
        <v>5</v>
      </c>
      <c r="M41" s="50">
        <v>6</v>
      </c>
      <c r="N41" s="50">
        <v>7</v>
      </c>
      <c r="O41" s="50">
        <v>8</v>
      </c>
      <c r="P41" s="50">
        <v>9</v>
      </c>
      <c r="Q41" s="50">
        <v>10</v>
      </c>
      <c r="R41" s="50">
        <v>11</v>
      </c>
      <c r="S41" s="50">
        <v>12</v>
      </c>
      <c r="T41" s="50">
        <v>13</v>
      </c>
      <c r="U41" s="50">
        <v>14</v>
      </c>
      <c r="V41" s="50">
        <v>15</v>
      </c>
      <c r="W41" s="56" t="s">
        <v>575</v>
      </c>
      <c r="X41" s="56" t="s">
        <v>576</v>
      </c>
      <c r="Y41" s="56">
        <v>4110</v>
      </c>
      <c r="Z41" s="56" t="s">
        <v>577</v>
      </c>
      <c r="AA41" s="56" t="s">
        <v>576</v>
      </c>
    </row>
    <row r="42" spans="1:58" s="50" customFormat="1">
      <c r="A42" s="36"/>
      <c r="B42" s="49" t="s">
        <v>430</v>
      </c>
      <c r="C42" s="50" t="s">
        <v>574</v>
      </c>
      <c r="D42" s="53"/>
      <c r="E42" s="53">
        <v>40</v>
      </c>
      <c r="F42" s="53"/>
      <c r="G42" s="50" t="s">
        <v>426</v>
      </c>
      <c r="H42" s="50" t="s">
        <v>546</v>
      </c>
      <c r="I42" s="50" t="s">
        <v>503</v>
      </c>
      <c r="J42" s="50">
        <v>3</v>
      </c>
      <c r="K42" s="50">
        <v>4</v>
      </c>
      <c r="L42" s="50">
        <v>5</v>
      </c>
      <c r="M42" s="50">
        <v>6</v>
      </c>
      <c r="N42" s="50">
        <v>7</v>
      </c>
      <c r="O42" s="50">
        <v>8</v>
      </c>
      <c r="P42" s="50">
        <v>9</v>
      </c>
      <c r="Q42" s="50">
        <v>10</v>
      </c>
      <c r="R42" s="50">
        <v>11</v>
      </c>
      <c r="S42" s="50">
        <v>12</v>
      </c>
      <c r="T42" s="50">
        <v>13</v>
      </c>
      <c r="U42" s="50">
        <v>14</v>
      </c>
      <c r="V42" s="50">
        <v>15</v>
      </c>
      <c r="W42" s="56" t="s">
        <v>575</v>
      </c>
      <c r="X42" s="56" t="s">
        <v>576</v>
      </c>
      <c r="Y42" s="56" t="s">
        <v>579</v>
      </c>
      <c r="Z42" s="56" t="s">
        <v>577</v>
      </c>
      <c r="AA42" s="56" t="s">
        <v>576</v>
      </c>
    </row>
    <row r="43" spans="1:58" s="50" customFormat="1">
      <c r="A43" s="34"/>
      <c r="B43" s="49" t="s">
        <v>430</v>
      </c>
      <c r="C43" s="50" t="s">
        <v>574</v>
      </c>
      <c r="D43" s="53"/>
      <c r="E43" s="53">
        <v>100</v>
      </c>
      <c r="F43" s="53"/>
      <c r="G43" s="50" t="s">
        <v>426</v>
      </c>
      <c r="H43" s="50" t="s">
        <v>546</v>
      </c>
      <c r="I43" s="50" t="s">
        <v>547</v>
      </c>
      <c r="J43" s="50">
        <v>3</v>
      </c>
      <c r="K43" s="50">
        <v>4</v>
      </c>
      <c r="L43" s="50">
        <v>5</v>
      </c>
      <c r="M43" s="50">
        <v>6</v>
      </c>
      <c r="N43" s="50">
        <v>7</v>
      </c>
      <c r="O43" s="50">
        <v>8</v>
      </c>
      <c r="P43" s="50">
        <v>9</v>
      </c>
      <c r="Q43" s="50">
        <v>10</v>
      </c>
      <c r="R43" s="50">
        <v>11</v>
      </c>
      <c r="S43" s="50">
        <v>12</v>
      </c>
      <c r="T43" s="50">
        <v>13</v>
      </c>
      <c r="U43" s="50">
        <v>14</v>
      </c>
      <c r="V43" s="50">
        <v>15</v>
      </c>
      <c r="W43" s="56" t="s">
        <v>575</v>
      </c>
      <c r="X43" s="56" t="s">
        <v>576</v>
      </c>
      <c r="Y43" s="56" t="s">
        <v>580</v>
      </c>
      <c r="Z43" s="56" t="s">
        <v>577</v>
      </c>
      <c r="AA43" s="56" t="s">
        <v>576</v>
      </c>
    </row>
    <row r="44" spans="1:58" s="50" customFormat="1">
      <c r="A44" s="34"/>
      <c r="B44" s="49" t="s">
        <v>430</v>
      </c>
      <c r="C44" s="50" t="s">
        <v>578</v>
      </c>
      <c r="D44" s="53"/>
      <c r="E44" s="53">
        <v>100</v>
      </c>
      <c r="F44" s="53"/>
      <c r="G44" s="50" t="s">
        <v>426</v>
      </c>
      <c r="H44" s="50" t="s">
        <v>546</v>
      </c>
      <c r="I44" s="50" t="s">
        <v>548</v>
      </c>
      <c r="J44" s="50">
        <v>3</v>
      </c>
      <c r="K44" s="50">
        <v>4</v>
      </c>
      <c r="L44" s="50">
        <v>5</v>
      </c>
      <c r="M44" s="50">
        <v>6</v>
      </c>
      <c r="N44" s="50">
        <v>7</v>
      </c>
      <c r="O44" s="50">
        <v>8</v>
      </c>
      <c r="P44" s="50">
        <v>9</v>
      </c>
      <c r="Q44" s="50">
        <v>10</v>
      </c>
      <c r="R44" s="50">
        <v>11</v>
      </c>
      <c r="S44" s="50">
        <v>12</v>
      </c>
      <c r="T44" s="50">
        <v>13</v>
      </c>
      <c r="U44" s="50">
        <v>14</v>
      </c>
      <c r="V44" s="50">
        <v>15</v>
      </c>
      <c r="W44" s="56" t="s">
        <v>575</v>
      </c>
      <c r="X44" s="56" t="s">
        <v>576</v>
      </c>
      <c r="Y44" s="56">
        <v>4110</v>
      </c>
      <c r="Z44" s="56" t="s">
        <v>577</v>
      </c>
      <c r="AA44" s="56" t="s">
        <v>576</v>
      </c>
    </row>
    <row r="45" spans="1:58" s="50" customFormat="1">
      <c r="A45" s="34"/>
      <c r="B45" s="49" t="s">
        <v>430</v>
      </c>
      <c r="C45" s="50" t="s">
        <v>574</v>
      </c>
      <c r="D45" s="53"/>
      <c r="E45" s="53">
        <v>100</v>
      </c>
      <c r="F45" s="53"/>
      <c r="G45" s="50" t="s">
        <v>426</v>
      </c>
      <c r="H45" s="50" t="s">
        <v>549</v>
      </c>
      <c r="I45" s="50" t="s">
        <v>503</v>
      </c>
      <c r="J45" s="50">
        <v>3</v>
      </c>
      <c r="K45" s="50">
        <v>4</v>
      </c>
      <c r="L45" s="50">
        <v>5</v>
      </c>
      <c r="M45" s="50">
        <v>6</v>
      </c>
      <c r="N45" s="50">
        <v>7</v>
      </c>
      <c r="O45" s="50">
        <v>8</v>
      </c>
      <c r="P45" s="50">
        <v>9</v>
      </c>
      <c r="Q45" s="50">
        <v>10</v>
      </c>
      <c r="R45" s="50">
        <v>11</v>
      </c>
      <c r="S45" s="50">
        <v>12</v>
      </c>
      <c r="T45" s="50">
        <v>13</v>
      </c>
      <c r="U45" s="50">
        <v>14</v>
      </c>
      <c r="V45" s="50">
        <v>15</v>
      </c>
      <c r="W45" s="56" t="s">
        <v>575</v>
      </c>
      <c r="X45" s="56" t="s">
        <v>576</v>
      </c>
      <c r="Y45" s="56" t="s">
        <v>581</v>
      </c>
      <c r="Z45" s="56" t="s">
        <v>577</v>
      </c>
      <c r="AA45" s="56" t="s">
        <v>576</v>
      </c>
    </row>
    <row r="46" spans="1:58" s="50" customFormat="1">
      <c r="A46" s="34"/>
      <c r="B46" s="49" t="s">
        <v>430</v>
      </c>
      <c r="C46" s="50" t="s">
        <v>516</v>
      </c>
      <c r="D46" s="53"/>
      <c r="E46" s="53">
        <v>100</v>
      </c>
      <c r="F46" s="53"/>
      <c r="G46" s="50" t="s">
        <v>426</v>
      </c>
      <c r="H46" s="50" t="s">
        <v>549</v>
      </c>
      <c r="I46" s="50" t="s">
        <v>547</v>
      </c>
      <c r="J46" s="50">
        <v>3</v>
      </c>
      <c r="K46" s="50">
        <v>4</v>
      </c>
      <c r="L46" s="50">
        <v>5</v>
      </c>
      <c r="M46" s="50">
        <v>6</v>
      </c>
      <c r="N46" s="50">
        <v>7</v>
      </c>
      <c r="O46" s="50">
        <v>8</v>
      </c>
      <c r="P46" s="50">
        <v>9</v>
      </c>
      <c r="Q46" s="50">
        <v>10</v>
      </c>
      <c r="R46" s="50">
        <v>11</v>
      </c>
      <c r="S46" s="50">
        <v>12</v>
      </c>
      <c r="T46" s="50">
        <v>13</v>
      </c>
      <c r="U46" s="50">
        <v>14</v>
      </c>
      <c r="V46" s="50">
        <v>15</v>
      </c>
      <c r="W46" s="56" t="s">
        <v>575</v>
      </c>
      <c r="X46" s="56" t="s">
        <v>576</v>
      </c>
      <c r="Y46" s="56" t="s">
        <v>582</v>
      </c>
      <c r="Z46" s="56" t="s">
        <v>577</v>
      </c>
      <c r="AA46" s="56" t="s">
        <v>576</v>
      </c>
    </row>
    <row r="47" spans="1:58" s="50" customFormat="1">
      <c r="A47" s="34"/>
      <c r="B47" s="49" t="s">
        <v>430</v>
      </c>
      <c r="C47" s="50" t="s">
        <v>574</v>
      </c>
      <c r="E47" s="53">
        <v>100</v>
      </c>
      <c r="F47" s="53"/>
      <c r="G47" s="50" t="s">
        <v>426</v>
      </c>
      <c r="H47" s="50" t="s">
        <v>551</v>
      </c>
      <c r="I47" s="50" t="s">
        <v>503</v>
      </c>
      <c r="J47" s="50">
        <v>3</v>
      </c>
      <c r="K47" s="50">
        <v>4</v>
      </c>
      <c r="L47" s="50">
        <v>5</v>
      </c>
      <c r="M47" s="50">
        <v>6</v>
      </c>
      <c r="N47" s="50">
        <v>7</v>
      </c>
      <c r="O47" s="50">
        <v>8</v>
      </c>
      <c r="P47" s="50">
        <v>9</v>
      </c>
      <c r="Q47" s="50">
        <v>10</v>
      </c>
      <c r="R47" s="50">
        <v>11</v>
      </c>
      <c r="S47" s="50">
        <v>12</v>
      </c>
      <c r="T47" s="50">
        <v>13</v>
      </c>
      <c r="U47" s="50">
        <v>14</v>
      </c>
      <c r="V47" s="50">
        <v>15</v>
      </c>
      <c r="W47" s="56" t="s">
        <v>575</v>
      </c>
      <c r="X47" s="56" t="s">
        <v>576</v>
      </c>
      <c r="Y47" s="56">
        <v>4110</v>
      </c>
      <c r="Z47" s="56" t="s">
        <v>577</v>
      </c>
      <c r="AA47" s="56" t="s">
        <v>576</v>
      </c>
      <c r="BB47" s="56"/>
      <c r="BC47" s="56"/>
      <c r="BD47" s="56"/>
      <c r="BE47" s="56"/>
      <c r="BF47" s="56"/>
    </row>
    <row r="48" spans="1:58" s="50" customFormat="1">
      <c r="A48" s="34"/>
      <c r="B48" s="49" t="s">
        <v>430</v>
      </c>
      <c r="C48" s="50" t="s">
        <v>578</v>
      </c>
      <c r="D48" s="53">
        <v>1000</v>
      </c>
      <c r="E48" s="53">
        <v>100</v>
      </c>
      <c r="F48" s="53"/>
      <c r="G48" s="50" t="s">
        <v>426</v>
      </c>
      <c r="H48" s="50" t="s">
        <v>551</v>
      </c>
      <c r="I48" s="50" t="s">
        <v>503</v>
      </c>
      <c r="J48" s="50">
        <v>3</v>
      </c>
      <c r="K48" s="50">
        <v>4</v>
      </c>
      <c r="L48" s="50">
        <v>5</v>
      </c>
      <c r="M48" s="50">
        <v>6</v>
      </c>
      <c r="N48" s="50">
        <v>7</v>
      </c>
      <c r="O48" s="50">
        <v>8</v>
      </c>
      <c r="P48" s="50">
        <v>9</v>
      </c>
      <c r="Q48" s="50">
        <v>10</v>
      </c>
      <c r="R48" s="50">
        <v>11</v>
      </c>
      <c r="S48" s="50">
        <v>12</v>
      </c>
      <c r="T48" s="50">
        <v>13</v>
      </c>
      <c r="U48" s="50">
        <v>14</v>
      </c>
      <c r="V48" s="50">
        <v>15</v>
      </c>
      <c r="W48" s="56" t="s">
        <v>575</v>
      </c>
      <c r="X48" s="56" t="s">
        <v>576</v>
      </c>
      <c r="Y48" s="56" t="s">
        <v>583</v>
      </c>
      <c r="Z48" s="56" t="s">
        <v>577</v>
      </c>
      <c r="AA48" s="56" t="s">
        <v>576</v>
      </c>
      <c r="BB48" s="56"/>
      <c r="BC48" s="56"/>
      <c r="BD48" s="56"/>
      <c r="BE48" s="56"/>
      <c r="BF48" s="56"/>
    </row>
    <row r="49" spans="1:58" s="50" customFormat="1">
      <c r="A49" s="49"/>
      <c r="B49" s="49" t="s">
        <v>430</v>
      </c>
      <c r="C49" s="50" t="s">
        <v>584</v>
      </c>
      <c r="D49" s="53"/>
      <c r="E49" s="53">
        <v>100</v>
      </c>
      <c r="F49" s="53"/>
      <c r="G49" s="50" t="s">
        <v>426</v>
      </c>
      <c r="H49" s="50" t="s">
        <v>554</v>
      </c>
      <c r="I49" s="50" t="s">
        <v>503</v>
      </c>
      <c r="J49" s="50">
        <v>3</v>
      </c>
      <c r="K49" s="50">
        <v>4</v>
      </c>
      <c r="L49" s="50">
        <v>5</v>
      </c>
      <c r="M49" s="50">
        <v>6</v>
      </c>
      <c r="N49" s="50">
        <v>7</v>
      </c>
      <c r="O49" s="50">
        <v>8</v>
      </c>
      <c r="P49" s="50">
        <v>9</v>
      </c>
      <c r="Q49" s="50">
        <v>10</v>
      </c>
      <c r="R49" s="50">
        <v>11</v>
      </c>
      <c r="S49" s="50">
        <v>12</v>
      </c>
      <c r="T49" s="50">
        <v>13</v>
      </c>
      <c r="U49" s="50">
        <v>14</v>
      </c>
      <c r="V49" s="50">
        <v>15</v>
      </c>
      <c r="W49" s="56" t="s">
        <v>575</v>
      </c>
      <c r="X49" s="56" t="s">
        <v>576</v>
      </c>
      <c r="Y49" s="56" t="s">
        <v>585</v>
      </c>
      <c r="Z49" s="56" t="s">
        <v>577</v>
      </c>
      <c r="AA49" s="56" t="s">
        <v>576</v>
      </c>
      <c r="BB49" s="56"/>
      <c r="BC49" s="56"/>
      <c r="BD49" s="56"/>
      <c r="BE49" s="56"/>
      <c r="BF49" s="56"/>
    </row>
    <row r="50" spans="1:58" s="50" customFormat="1">
      <c r="A50" s="49"/>
      <c r="B50" s="49" t="s">
        <v>430</v>
      </c>
      <c r="C50" s="50" t="s">
        <v>584</v>
      </c>
      <c r="D50" s="53"/>
      <c r="E50" s="53">
        <v>100</v>
      </c>
      <c r="F50" s="53"/>
      <c r="G50" s="50" t="s">
        <v>426</v>
      </c>
      <c r="H50" s="50" t="s">
        <v>555</v>
      </c>
      <c r="I50" s="50" t="s">
        <v>503</v>
      </c>
      <c r="J50" s="50">
        <v>3</v>
      </c>
      <c r="K50" s="50">
        <v>4</v>
      </c>
      <c r="L50" s="50">
        <v>5</v>
      </c>
      <c r="M50" s="50">
        <v>6</v>
      </c>
      <c r="N50" s="50">
        <v>7</v>
      </c>
      <c r="O50" s="50">
        <v>8</v>
      </c>
      <c r="P50" s="50">
        <v>9</v>
      </c>
      <c r="Q50" s="50">
        <v>10</v>
      </c>
      <c r="R50" s="50">
        <v>11</v>
      </c>
      <c r="S50" s="50">
        <v>12</v>
      </c>
      <c r="T50" s="50">
        <v>13</v>
      </c>
      <c r="U50" s="50">
        <v>14</v>
      </c>
      <c r="V50" s="50">
        <v>15</v>
      </c>
      <c r="W50" s="56" t="s">
        <v>575</v>
      </c>
      <c r="X50" s="56" t="s">
        <v>576</v>
      </c>
      <c r="Y50" s="56" t="s">
        <v>586</v>
      </c>
      <c r="Z50" s="56" t="s">
        <v>577</v>
      </c>
      <c r="AA50" s="56" t="s">
        <v>576</v>
      </c>
      <c r="BB50" s="56"/>
      <c r="BC50" s="56"/>
      <c r="BD50" s="56"/>
      <c r="BE50" s="56"/>
      <c r="BF50" s="56"/>
    </row>
    <row r="51" spans="1:58" s="50" customFormat="1">
      <c r="A51" s="49"/>
      <c r="B51" s="49" t="s">
        <v>430</v>
      </c>
      <c r="C51" s="50" t="s">
        <v>578</v>
      </c>
      <c r="D51" s="53"/>
      <c r="E51" s="53">
        <v>100</v>
      </c>
      <c r="F51" s="53"/>
      <c r="G51" s="50" t="s">
        <v>426</v>
      </c>
      <c r="H51" s="50" t="s">
        <v>555</v>
      </c>
      <c r="I51" s="50" t="s">
        <v>503</v>
      </c>
      <c r="J51" s="50">
        <v>3</v>
      </c>
      <c r="K51" s="50">
        <v>4</v>
      </c>
      <c r="L51" s="50">
        <v>5</v>
      </c>
      <c r="M51" s="50">
        <v>6</v>
      </c>
      <c r="N51" s="50">
        <v>7</v>
      </c>
      <c r="O51" s="50">
        <v>8</v>
      </c>
      <c r="P51" s="50">
        <v>9</v>
      </c>
      <c r="Q51" s="50">
        <v>10</v>
      </c>
      <c r="R51" s="50">
        <v>11</v>
      </c>
      <c r="S51" s="50">
        <v>12</v>
      </c>
      <c r="T51" s="50">
        <v>13</v>
      </c>
      <c r="U51" s="50">
        <v>14</v>
      </c>
      <c r="V51" s="50">
        <v>15</v>
      </c>
      <c r="W51" s="56" t="s">
        <v>575</v>
      </c>
      <c r="X51" s="56" t="s">
        <v>576</v>
      </c>
      <c r="Y51" s="56" t="s">
        <v>583</v>
      </c>
      <c r="Z51" s="56" t="s">
        <v>577</v>
      </c>
      <c r="AA51" s="56" t="s">
        <v>576</v>
      </c>
      <c r="BB51" s="56"/>
      <c r="BC51" s="56"/>
      <c r="BD51" s="56"/>
      <c r="BE51" s="56"/>
      <c r="BF51" s="56"/>
    </row>
    <row r="52" spans="1:58" s="36" customFormat="1">
      <c r="A52" s="49"/>
      <c r="B52" s="49" t="s">
        <v>430</v>
      </c>
      <c r="C52" s="36" t="s">
        <v>559</v>
      </c>
      <c r="D52" s="39"/>
      <c r="E52" s="39">
        <v>100</v>
      </c>
      <c r="F52" s="39"/>
      <c r="G52" s="36" t="s">
        <v>426</v>
      </c>
      <c r="H52" s="50" t="s">
        <v>566</v>
      </c>
      <c r="I52" s="36" t="s">
        <v>567</v>
      </c>
      <c r="J52" s="36">
        <v>3</v>
      </c>
      <c r="K52" s="36">
        <v>4</v>
      </c>
      <c r="L52" s="36">
        <v>5</v>
      </c>
      <c r="M52" s="36">
        <v>6</v>
      </c>
      <c r="N52" s="36">
        <v>7</v>
      </c>
      <c r="O52" s="36">
        <v>8</v>
      </c>
      <c r="P52" s="36">
        <v>9</v>
      </c>
      <c r="Q52" s="36">
        <v>10</v>
      </c>
      <c r="R52" s="36">
        <v>11</v>
      </c>
      <c r="S52" s="36">
        <v>12</v>
      </c>
      <c r="T52" s="36">
        <v>13</v>
      </c>
      <c r="U52" s="36">
        <v>14</v>
      </c>
      <c r="V52" s="36">
        <v>15</v>
      </c>
      <c r="W52" s="38" t="s">
        <v>575</v>
      </c>
      <c r="X52" s="38" t="s">
        <v>576</v>
      </c>
      <c r="Y52" s="38" t="s">
        <v>580</v>
      </c>
      <c r="Z52" s="38" t="s">
        <v>577</v>
      </c>
      <c r="AA52" s="38" t="s">
        <v>576</v>
      </c>
      <c r="BB52" s="38"/>
      <c r="BC52" s="38"/>
      <c r="BD52" s="38"/>
      <c r="BE52" s="38"/>
      <c r="BF52" s="38"/>
    </row>
    <row r="53" spans="1:58" s="50" customFormat="1">
      <c r="A53" s="49"/>
      <c r="B53" s="49" t="s">
        <v>430</v>
      </c>
      <c r="C53" s="50" t="s">
        <v>574</v>
      </c>
      <c r="D53" s="53"/>
      <c r="E53" s="53">
        <v>100</v>
      </c>
      <c r="F53" s="53"/>
      <c r="G53" s="50" t="s">
        <v>426</v>
      </c>
      <c r="H53" s="50" t="s">
        <v>572</v>
      </c>
      <c r="I53" s="50" t="s">
        <v>503</v>
      </c>
      <c r="J53" s="50">
        <v>3</v>
      </c>
      <c r="K53" s="50">
        <v>4</v>
      </c>
      <c r="L53" s="50">
        <v>5</v>
      </c>
      <c r="M53" s="50">
        <v>6</v>
      </c>
      <c r="N53" s="50">
        <v>7</v>
      </c>
      <c r="O53" s="50">
        <v>8</v>
      </c>
      <c r="P53" s="50">
        <v>9</v>
      </c>
      <c r="Q53" s="50">
        <v>10</v>
      </c>
      <c r="R53" s="50">
        <v>11</v>
      </c>
      <c r="S53" s="50">
        <v>12</v>
      </c>
      <c r="T53" s="50">
        <v>13</v>
      </c>
      <c r="U53" s="50">
        <v>14</v>
      </c>
      <c r="V53" s="50">
        <v>15</v>
      </c>
      <c r="W53" s="56" t="s">
        <v>575</v>
      </c>
      <c r="X53" s="56" t="s">
        <v>576</v>
      </c>
      <c r="Y53" s="56" t="s">
        <v>581</v>
      </c>
      <c r="Z53" s="56" t="s">
        <v>577</v>
      </c>
      <c r="AA53" s="56" t="s">
        <v>576</v>
      </c>
      <c r="BB53" s="56"/>
      <c r="BC53" s="56"/>
      <c r="BD53" s="56"/>
      <c r="BE53" s="56"/>
      <c r="BF53" s="56"/>
    </row>
    <row r="54" spans="1:58" s="50" customFormat="1">
      <c r="A54" s="49"/>
      <c r="B54" s="49" t="s">
        <v>430</v>
      </c>
      <c r="C54" s="50" t="s">
        <v>578</v>
      </c>
      <c r="D54" s="53"/>
      <c r="E54" s="53">
        <v>100</v>
      </c>
      <c r="F54" s="53"/>
      <c r="G54" s="50" t="s">
        <v>426</v>
      </c>
      <c r="H54" s="50" t="s">
        <v>572</v>
      </c>
      <c r="I54" s="50" t="s">
        <v>503</v>
      </c>
      <c r="J54" s="50">
        <v>3</v>
      </c>
      <c r="K54" s="50">
        <v>4</v>
      </c>
      <c r="L54" s="50">
        <v>5</v>
      </c>
      <c r="M54" s="50">
        <v>6</v>
      </c>
      <c r="N54" s="50">
        <v>7</v>
      </c>
      <c r="O54" s="50">
        <v>8</v>
      </c>
      <c r="P54" s="50">
        <v>9</v>
      </c>
      <c r="Q54" s="50">
        <v>10</v>
      </c>
      <c r="R54" s="50">
        <v>11</v>
      </c>
      <c r="S54" s="50">
        <v>12</v>
      </c>
      <c r="T54" s="50">
        <v>13</v>
      </c>
      <c r="U54" s="50">
        <v>14</v>
      </c>
      <c r="V54" s="50">
        <v>15</v>
      </c>
      <c r="W54" s="56" t="s">
        <v>575</v>
      </c>
      <c r="X54" s="56" t="s">
        <v>576</v>
      </c>
      <c r="Y54" s="56" t="s">
        <v>587</v>
      </c>
      <c r="Z54" s="56" t="s">
        <v>577</v>
      </c>
      <c r="AA54" s="56" t="s">
        <v>576</v>
      </c>
      <c r="BB54" s="56"/>
      <c r="BC54" s="56"/>
      <c r="BD54" s="56"/>
      <c r="BE54" s="56"/>
      <c r="BF54" s="56"/>
    </row>
    <row r="55" spans="1:58" s="50" customFormat="1">
      <c r="A55" s="49"/>
      <c r="B55" s="49" t="s">
        <v>430</v>
      </c>
      <c r="C55" s="50" t="s">
        <v>574</v>
      </c>
      <c r="D55" s="53"/>
      <c r="E55" s="53">
        <v>100</v>
      </c>
      <c r="F55" s="53"/>
      <c r="G55" s="50" t="s">
        <v>426</v>
      </c>
      <c r="H55" s="50" t="s">
        <v>573</v>
      </c>
      <c r="I55" s="50" t="s">
        <v>503</v>
      </c>
      <c r="J55" s="50">
        <v>3</v>
      </c>
      <c r="K55" s="50">
        <v>4</v>
      </c>
      <c r="L55" s="50">
        <v>5</v>
      </c>
      <c r="M55" s="50">
        <v>6</v>
      </c>
      <c r="N55" s="50">
        <v>7</v>
      </c>
      <c r="O55" s="50">
        <v>8</v>
      </c>
      <c r="P55" s="50">
        <v>9</v>
      </c>
      <c r="Q55" s="50">
        <v>10</v>
      </c>
      <c r="R55" s="50">
        <v>11</v>
      </c>
      <c r="S55" s="50">
        <v>12</v>
      </c>
      <c r="T55" s="50">
        <v>13</v>
      </c>
      <c r="U55" s="50">
        <v>14</v>
      </c>
      <c r="V55" s="50">
        <v>15</v>
      </c>
      <c r="W55" s="56" t="s">
        <v>575</v>
      </c>
      <c r="X55" s="56" t="s">
        <v>576</v>
      </c>
      <c r="Y55" s="56" t="s">
        <v>586</v>
      </c>
      <c r="Z55" s="56" t="s">
        <v>577</v>
      </c>
      <c r="AA55" s="56" t="s">
        <v>576</v>
      </c>
      <c r="BB55" s="56"/>
      <c r="BC55" s="56"/>
      <c r="BD55" s="56"/>
      <c r="BE55" s="56"/>
      <c r="BF55" s="56"/>
    </row>
    <row r="56" spans="1:58" s="50" customFormat="1">
      <c r="A56" s="49"/>
      <c r="B56" s="49" t="s">
        <v>430</v>
      </c>
      <c r="C56" s="50" t="s">
        <v>516</v>
      </c>
      <c r="D56" s="53"/>
      <c r="E56" s="53">
        <v>100</v>
      </c>
      <c r="F56" s="53"/>
      <c r="G56" s="50" t="s">
        <v>426</v>
      </c>
      <c r="H56" s="50" t="s">
        <v>573</v>
      </c>
      <c r="I56" s="50" t="s">
        <v>547</v>
      </c>
      <c r="J56" s="50">
        <v>3</v>
      </c>
      <c r="K56" s="50">
        <v>4</v>
      </c>
      <c r="L56" s="50">
        <v>5</v>
      </c>
      <c r="M56" s="50">
        <v>6</v>
      </c>
      <c r="N56" s="50">
        <v>7</v>
      </c>
      <c r="O56" s="50">
        <v>8</v>
      </c>
      <c r="P56" s="50">
        <v>9</v>
      </c>
      <c r="Q56" s="50">
        <v>10</v>
      </c>
      <c r="R56" s="50">
        <v>11</v>
      </c>
      <c r="S56" s="50">
        <v>12</v>
      </c>
      <c r="T56" s="50">
        <v>13</v>
      </c>
      <c r="U56" s="50">
        <v>14</v>
      </c>
      <c r="V56" s="50">
        <v>15</v>
      </c>
      <c r="W56" s="56" t="s">
        <v>575</v>
      </c>
      <c r="X56" s="56" t="s">
        <v>576</v>
      </c>
      <c r="Y56" s="56" t="s">
        <v>582</v>
      </c>
      <c r="Z56" s="56" t="s">
        <v>577</v>
      </c>
      <c r="AA56" s="56" t="s">
        <v>576</v>
      </c>
      <c r="BB56" s="56"/>
      <c r="BC56" s="56"/>
      <c r="BD56" s="56"/>
      <c r="BE56" s="56"/>
      <c r="BF56" s="56"/>
    </row>
    <row r="57" spans="1:58">
      <c r="A57" s="36"/>
    </row>
    <row r="58" spans="1:58">
      <c r="A58" s="36"/>
    </row>
    <row r="59" spans="1:58">
      <c r="A59" s="34"/>
    </row>
    <row r="60" spans="1:58">
      <c r="A60" s="36"/>
    </row>
    <row r="61" spans="1:58">
      <c r="A61" s="36"/>
    </row>
    <row r="62" spans="1:58">
      <c r="A62" s="34"/>
    </row>
    <row r="63" spans="1:58">
      <c r="A63" s="34"/>
    </row>
    <row r="64" spans="1:58">
      <c r="A64" s="34"/>
    </row>
  </sheetData>
  <phoneticPr fontId="27" type="noConversion"/>
  <dataValidations count="6">
    <dataValidation allowBlank="1" showInputMessage="1" errorTitle="Invalid Value" error="Value is invalid for this file. Enter a valid value." sqref="B1:B3 A1"/>
    <dataValidation type="list" allowBlank="1" showInputMessage="1" showErrorMessage="1" errorTitle="Invalid Value" error="Value is invalid for this file. Enter a valid value." sqref="C5:C1048576">
      <formula1>"REV,FREIGHT,TAX,REC,CHARGES,UNBILL,UNEARN"</formula1>
    </dataValidation>
    <dataValidation type="textLength" allowBlank="1" showInputMessage="1" showErrorMessage="1" sqref="D1:D3">
      <formula1>1</formula1>
      <formula2>15</formula2>
    </dataValidation>
    <dataValidation type="textLength" allowBlank="1" showInputMessage="1" showErrorMessage="1" sqref="E1:E3">
      <formula1>1</formula1>
      <formula2>80</formula2>
    </dataValidation>
    <dataValidation type="whole" operator="greaterThan" allowBlank="1" showInputMessage="1" showErrorMessage="1" sqref="N1:N3">
      <formula1>0</formula1>
    </dataValidation>
    <dataValidation allowBlank="1" showInputMessage="1" errorTitle="Invalid Value" sqref="C1:C4"/>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L64"/>
  <sheetViews>
    <sheetView topLeftCell="B1" workbookViewId="0"/>
  </sheetViews>
  <sheetFormatPr defaultRowHeight="14.4"/>
  <cols>
    <col min="1" max="1" width="22.6640625" style="49" hidden="1" customWidth="1"/>
    <col min="2" max="2" width="74.109375" style="2" bestFit="1" customWidth="1"/>
    <col min="3" max="3" width="20.109375" style="15" bestFit="1" customWidth="1"/>
    <col min="4" max="4" width="25.5546875" bestFit="1" customWidth="1"/>
    <col min="5" max="5" width="24.88671875" style="18" bestFit="1" customWidth="1"/>
    <col min="6" max="6" width="28.44140625" style="18" bestFit="1" customWidth="1"/>
    <col min="7" max="7" width="33.5546875" bestFit="1" customWidth="1"/>
    <col min="8" max="11" width="36.33203125" bestFit="1" customWidth="1"/>
    <col min="12" max="13" width="36.33203125" style="2" bestFit="1" customWidth="1"/>
    <col min="14" max="16" width="36.33203125" bestFit="1" customWidth="1"/>
    <col min="17" max="22" width="37.44140625" bestFit="1" customWidth="1"/>
    <col min="23" max="23" width="39" bestFit="1" customWidth="1"/>
    <col min="24" max="32" width="41.5546875" bestFit="1" customWidth="1"/>
    <col min="33" max="38" width="42.88671875" bestFit="1" customWidth="1"/>
  </cols>
  <sheetData>
    <row r="1" spans="1:38" s="3" customFormat="1" ht="5.0999999999999996" customHeight="1">
      <c r="A1" s="41"/>
      <c r="B1" s="33"/>
      <c r="E1" s="10"/>
      <c r="F1" s="10"/>
      <c r="T1" s="10"/>
    </row>
    <row r="2" spans="1:38" s="3" customFormat="1" ht="18" customHeight="1">
      <c r="A2" s="59"/>
      <c r="B2" s="4" t="s">
        <v>184</v>
      </c>
      <c r="E2" s="10"/>
      <c r="F2" s="10"/>
      <c r="T2" s="10"/>
    </row>
    <row r="3" spans="1:38" s="3" customFormat="1" ht="18" customHeight="1">
      <c r="A3" s="59"/>
      <c r="B3" s="11" t="s">
        <v>179</v>
      </c>
      <c r="E3" s="10"/>
      <c r="F3" s="10"/>
      <c r="T3" s="10"/>
    </row>
    <row r="4" spans="1:38" s="12" customFormat="1" ht="13.2">
      <c r="A4" s="12" t="s">
        <v>443</v>
      </c>
      <c r="B4" s="12" t="s">
        <v>428</v>
      </c>
      <c r="C4" s="12" t="s">
        <v>161</v>
      </c>
      <c r="D4" s="12" t="s">
        <v>162</v>
      </c>
      <c r="E4" s="12" t="s">
        <v>163</v>
      </c>
      <c r="F4" s="12" t="s">
        <v>164</v>
      </c>
      <c r="G4" s="12" t="s">
        <v>228</v>
      </c>
      <c r="H4" s="12" t="s">
        <v>229</v>
      </c>
      <c r="I4" s="12" t="s">
        <v>230</v>
      </c>
      <c r="J4" s="12" t="s">
        <v>231</v>
      </c>
      <c r="K4" s="12" t="s">
        <v>232</v>
      </c>
      <c r="L4" s="12" t="s">
        <v>233</v>
      </c>
      <c r="M4" s="12" t="s">
        <v>234</v>
      </c>
      <c r="N4" s="12" t="s">
        <v>235</v>
      </c>
      <c r="O4" s="12" t="s">
        <v>236</v>
      </c>
      <c r="P4" s="12" t="s">
        <v>237</v>
      </c>
      <c r="Q4" s="12" t="s">
        <v>238</v>
      </c>
      <c r="R4" s="12" t="s">
        <v>239</v>
      </c>
      <c r="S4" s="12" t="s">
        <v>240</v>
      </c>
      <c r="T4" s="12" t="s">
        <v>241</v>
      </c>
      <c r="U4" s="12" t="s">
        <v>242</v>
      </c>
      <c r="V4" s="12" t="s">
        <v>243</v>
      </c>
      <c r="W4" s="12" t="s">
        <v>292</v>
      </c>
      <c r="X4" s="12" t="s">
        <v>293</v>
      </c>
      <c r="Y4" s="12" t="s">
        <v>294</v>
      </c>
      <c r="Z4" s="12" t="s">
        <v>295</v>
      </c>
      <c r="AA4" s="12" t="s">
        <v>296</v>
      </c>
      <c r="AB4" s="12" t="s">
        <v>297</v>
      </c>
      <c r="AC4" s="12" t="s">
        <v>298</v>
      </c>
      <c r="AD4" s="12" t="s">
        <v>299</v>
      </c>
      <c r="AE4" s="12" t="s">
        <v>300</v>
      </c>
      <c r="AF4" s="12" t="s">
        <v>301</v>
      </c>
      <c r="AG4" s="12" t="s">
        <v>302</v>
      </c>
      <c r="AH4" s="12" t="s">
        <v>303</v>
      </c>
      <c r="AI4" s="12" t="s">
        <v>304</v>
      </c>
      <c r="AJ4" s="12" t="s">
        <v>305</v>
      </c>
      <c r="AK4" s="12" t="s">
        <v>306</v>
      </c>
      <c r="AL4" s="12" t="s">
        <v>307</v>
      </c>
    </row>
    <row r="5" spans="1:38" s="1" customFormat="1">
      <c r="A5" s="49" t="str">
        <f>""</f>
        <v/>
      </c>
      <c r="B5" s="49" t="s">
        <v>430</v>
      </c>
      <c r="C5" s="15" t="s">
        <v>588</v>
      </c>
      <c r="D5" s="1" t="s">
        <v>589</v>
      </c>
      <c r="E5" s="18"/>
      <c r="F5" s="18">
        <v>100</v>
      </c>
      <c r="G5" s="1" t="s">
        <v>455</v>
      </c>
      <c r="H5" s="1">
        <v>52519</v>
      </c>
      <c r="I5" s="1" t="s">
        <v>96</v>
      </c>
      <c r="J5" s="2">
        <v>100000019653855</v>
      </c>
      <c r="K5" s="1" t="s">
        <v>224</v>
      </c>
      <c r="L5" s="2"/>
      <c r="M5" s="2"/>
    </row>
    <row r="6" spans="1:38" s="1" customFormat="1">
      <c r="A6" s="49"/>
      <c r="B6" s="49" t="s">
        <v>430</v>
      </c>
      <c r="C6" s="15" t="s">
        <v>588</v>
      </c>
      <c r="D6" s="1" t="s">
        <v>589</v>
      </c>
      <c r="E6" s="18"/>
      <c r="F6" s="18">
        <v>100</v>
      </c>
      <c r="G6" s="1" t="s">
        <v>455</v>
      </c>
      <c r="H6" s="1">
        <v>52519</v>
      </c>
      <c r="I6" s="1" t="s">
        <v>96</v>
      </c>
      <c r="J6" s="2">
        <v>100000019653855</v>
      </c>
      <c r="K6" s="1" t="s">
        <v>458</v>
      </c>
      <c r="L6" s="2"/>
      <c r="M6" s="2"/>
    </row>
    <row r="7" spans="1:38" s="1" customFormat="1">
      <c r="A7" s="49"/>
      <c r="B7" s="49" t="s">
        <v>430</v>
      </c>
      <c r="C7" s="15" t="s">
        <v>588</v>
      </c>
      <c r="D7" s="1" t="s">
        <v>589</v>
      </c>
      <c r="E7" s="18"/>
      <c r="F7" s="18">
        <v>100</v>
      </c>
      <c r="G7" s="1" t="s">
        <v>455</v>
      </c>
      <c r="H7" s="1">
        <v>52519</v>
      </c>
      <c r="I7" s="1" t="s">
        <v>96</v>
      </c>
      <c r="J7" s="2">
        <v>100000019653855</v>
      </c>
      <c r="K7" s="1" t="s">
        <v>460</v>
      </c>
      <c r="L7" s="2"/>
      <c r="M7" s="2"/>
    </row>
    <row r="8" spans="1:38" s="1" customFormat="1">
      <c r="A8" s="49"/>
      <c r="B8" s="49" t="s">
        <v>430</v>
      </c>
      <c r="C8" s="15" t="s">
        <v>588</v>
      </c>
      <c r="D8" s="1" t="s">
        <v>589</v>
      </c>
      <c r="E8" s="18"/>
      <c r="F8" s="18">
        <v>100</v>
      </c>
      <c r="G8" s="1" t="s">
        <v>455</v>
      </c>
      <c r="H8" s="1">
        <v>52519</v>
      </c>
      <c r="I8" s="1" t="s">
        <v>96</v>
      </c>
      <c r="J8" s="2">
        <v>100000019653855</v>
      </c>
      <c r="K8" s="1" t="s">
        <v>462</v>
      </c>
      <c r="L8" s="2"/>
      <c r="M8" s="2"/>
    </row>
    <row r="9" spans="1:38" s="1" customFormat="1">
      <c r="A9" s="49"/>
      <c r="B9" s="49" t="s">
        <v>430</v>
      </c>
      <c r="C9" s="15" t="s">
        <v>588</v>
      </c>
      <c r="D9" s="1" t="s">
        <v>589</v>
      </c>
      <c r="E9" s="18"/>
      <c r="F9" s="18">
        <v>100</v>
      </c>
      <c r="G9" s="1" t="s">
        <v>455</v>
      </c>
      <c r="H9" s="1">
        <v>52519</v>
      </c>
      <c r="I9" s="1" t="s">
        <v>96</v>
      </c>
      <c r="J9" s="2">
        <v>100000019653855</v>
      </c>
      <c r="K9" s="1" t="s">
        <v>464</v>
      </c>
      <c r="L9" s="2"/>
      <c r="M9" s="2"/>
    </row>
    <row r="10" spans="1:38" s="1" customFormat="1">
      <c r="A10" s="49"/>
      <c r="B10" s="49" t="s">
        <v>430</v>
      </c>
      <c r="C10" s="15" t="s">
        <v>588</v>
      </c>
      <c r="D10" s="1" t="s">
        <v>589</v>
      </c>
      <c r="E10" s="18"/>
      <c r="F10" s="18">
        <v>100</v>
      </c>
      <c r="G10" s="1" t="s">
        <v>455</v>
      </c>
      <c r="H10" s="1">
        <v>52519</v>
      </c>
      <c r="I10" s="1" t="s">
        <v>96</v>
      </c>
      <c r="J10" s="2">
        <v>100000019653855</v>
      </c>
      <c r="K10" s="1" t="s">
        <v>466</v>
      </c>
      <c r="L10" s="2"/>
      <c r="M10" s="2"/>
    </row>
    <row r="11" spans="1:38" s="1" customFormat="1">
      <c r="A11" s="49"/>
      <c r="B11" s="49" t="s">
        <v>430</v>
      </c>
      <c r="C11" s="15" t="s">
        <v>588</v>
      </c>
      <c r="D11" s="1" t="s">
        <v>589</v>
      </c>
      <c r="E11" s="18"/>
      <c r="F11" s="18">
        <v>100</v>
      </c>
      <c r="G11" s="1" t="s">
        <v>455</v>
      </c>
      <c r="H11" s="1">
        <v>52519</v>
      </c>
      <c r="I11" s="1" t="s">
        <v>96</v>
      </c>
      <c r="J11" s="2">
        <v>100000019653855</v>
      </c>
      <c r="K11" s="1" t="s">
        <v>468</v>
      </c>
      <c r="L11" s="2"/>
      <c r="M11" s="2"/>
    </row>
    <row r="12" spans="1:38" s="1" customFormat="1">
      <c r="A12" s="49"/>
      <c r="B12" s="49" t="s">
        <v>430</v>
      </c>
      <c r="C12" s="15" t="s">
        <v>588</v>
      </c>
      <c r="D12" s="1" t="s">
        <v>589</v>
      </c>
      <c r="E12" s="18"/>
      <c r="F12" s="18">
        <v>100</v>
      </c>
      <c r="G12" s="1" t="s">
        <v>455</v>
      </c>
      <c r="H12" s="1">
        <v>52519</v>
      </c>
      <c r="I12" s="1" t="s">
        <v>96</v>
      </c>
      <c r="J12" s="2">
        <v>100000019653855</v>
      </c>
      <c r="K12" s="1" t="s">
        <v>470</v>
      </c>
      <c r="L12" s="2"/>
      <c r="M12" s="2"/>
    </row>
    <row r="13" spans="1:38" s="1" customFormat="1">
      <c r="A13" s="49"/>
      <c r="B13" s="49" t="s">
        <v>430</v>
      </c>
      <c r="C13" s="15" t="s">
        <v>588</v>
      </c>
      <c r="D13" s="1" t="s">
        <v>589</v>
      </c>
      <c r="E13" s="18"/>
      <c r="F13" s="18">
        <v>100</v>
      </c>
      <c r="G13" s="1" t="s">
        <v>455</v>
      </c>
      <c r="H13" s="1">
        <v>52519</v>
      </c>
      <c r="I13" s="1" t="s">
        <v>96</v>
      </c>
      <c r="J13" s="2">
        <v>100000019653855</v>
      </c>
      <c r="K13" s="1" t="s">
        <v>472</v>
      </c>
      <c r="L13" s="2"/>
      <c r="M13" s="2"/>
    </row>
    <row r="14" spans="1:38" s="1" customFormat="1">
      <c r="A14" s="49"/>
      <c r="B14" s="49" t="s">
        <v>430</v>
      </c>
      <c r="C14" s="15" t="s">
        <v>588</v>
      </c>
      <c r="D14" s="1" t="s">
        <v>589</v>
      </c>
      <c r="E14" s="18"/>
      <c r="F14" s="18">
        <v>100</v>
      </c>
      <c r="G14" s="1" t="s">
        <v>455</v>
      </c>
      <c r="H14" s="1">
        <v>52519</v>
      </c>
      <c r="I14" s="1" t="s">
        <v>96</v>
      </c>
      <c r="J14" s="2">
        <v>100000019653855</v>
      </c>
      <c r="K14" s="1" t="s">
        <v>474</v>
      </c>
      <c r="L14" s="2"/>
      <c r="M14" s="2"/>
    </row>
    <row r="15" spans="1:38" s="1" customFormat="1">
      <c r="A15" s="49"/>
      <c r="B15" s="49" t="s">
        <v>430</v>
      </c>
      <c r="C15" s="15" t="s">
        <v>588</v>
      </c>
      <c r="D15" s="1" t="s">
        <v>589</v>
      </c>
      <c r="E15" s="18"/>
      <c r="F15" s="18">
        <v>100</v>
      </c>
      <c r="G15" s="1" t="s">
        <v>455</v>
      </c>
      <c r="H15" s="1">
        <v>52519</v>
      </c>
      <c r="I15" s="1" t="s">
        <v>96</v>
      </c>
      <c r="J15" s="2">
        <v>100000019653855</v>
      </c>
      <c r="K15" s="1" t="s">
        <v>476</v>
      </c>
      <c r="L15" s="2"/>
      <c r="M15" s="2"/>
    </row>
    <row r="16" spans="1:38" s="1" customFormat="1">
      <c r="A16" s="49"/>
      <c r="B16" s="49" t="s">
        <v>430</v>
      </c>
      <c r="C16" s="15" t="s">
        <v>588</v>
      </c>
      <c r="D16" s="1" t="s">
        <v>589</v>
      </c>
      <c r="E16" s="18"/>
      <c r="F16" s="18">
        <v>100</v>
      </c>
      <c r="G16" s="1" t="s">
        <v>455</v>
      </c>
      <c r="H16" s="1">
        <v>52519</v>
      </c>
      <c r="I16" s="1" t="s">
        <v>96</v>
      </c>
      <c r="J16" s="2">
        <v>100000019653855</v>
      </c>
      <c r="K16" s="1" t="s">
        <v>478</v>
      </c>
      <c r="L16" s="2"/>
      <c r="M16" s="2"/>
    </row>
    <row r="17" spans="1:13" s="1" customFormat="1">
      <c r="A17" s="49"/>
      <c r="B17" s="49" t="s">
        <v>430</v>
      </c>
      <c r="C17" s="15" t="s">
        <v>588</v>
      </c>
      <c r="D17" s="1" t="s">
        <v>589</v>
      </c>
      <c r="E17" s="18"/>
      <c r="F17" s="18">
        <v>100</v>
      </c>
      <c r="G17" s="1" t="s">
        <v>455</v>
      </c>
      <c r="H17" s="1">
        <v>52519</v>
      </c>
      <c r="I17" s="1" t="s">
        <v>96</v>
      </c>
      <c r="J17" s="2">
        <v>100000019653855</v>
      </c>
      <c r="K17" s="1" t="s">
        <v>480</v>
      </c>
      <c r="L17" s="2"/>
      <c r="M17" s="2"/>
    </row>
    <row r="18" spans="1:13" s="1" customFormat="1">
      <c r="A18" s="49"/>
      <c r="B18" s="49" t="s">
        <v>430</v>
      </c>
      <c r="C18" s="15" t="s">
        <v>588</v>
      </c>
      <c r="D18" s="1" t="s">
        <v>589</v>
      </c>
      <c r="E18" s="18"/>
      <c r="F18" s="18">
        <v>100</v>
      </c>
      <c r="G18" s="1" t="s">
        <v>455</v>
      </c>
      <c r="H18" s="1">
        <v>52519</v>
      </c>
      <c r="I18" s="1" t="s">
        <v>96</v>
      </c>
      <c r="J18" s="2">
        <v>100000019653855</v>
      </c>
      <c r="K18" s="1" t="s">
        <v>482</v>
      </c>
      <c r="L18" s="2"/>
      <c r="M18" s="2"/>
    </row>
    <row r="19" spans="1:13" s="1" customFormat="1">
      <c r="A19" s="49"/>
      <c r="B19" s="49" t="s">
        <v>430</v>
      </c>
      <c r="C19" s="15" t="s">
        <v>588</v>
      </c>
      <c r="D19" s="1" t="s">
        <v>589</v>
      </c>
      <c r="E19" s="18"/>
      <c r="F19" s="18">
        <v>100</v>
      </c>
      <c r="G19" s="1" t="s">
        <v>455</v>
      </c>
      <c r="H19" s="1">
        <v>52519</v>
      </c>
      <c r="I19" s="1" t="s">
        <v>96</v>
      </c>
      <c r="J19" s="2">
        <v>100000019653855</v>
      </c>
      <c r="K19" s="1" t="s">
        <v>483</v>
      </c>
      <c r="L19" s="2"/>
      <c r="M19" s="2"/>
    </row>
    <row r="20" spans="1:13" s="1" customFormat="1">
      <c r="A20" s="49"/>
      <c r="B20" s="49" t="s">
        <v>430</v>
      </c>
      <c r="C20" s="15" t="s">
        <v>588</v>
      </c>
      <c r="D20" s="1" t="s">
        <v>589</v>
      </c>
      <c r="E20" s="18"/>
      <c r="F20" s="18">
        <v>100</v>
      </c>
      <c r="G20" s="1" t="s">
        <v>455</v>
      </c>
      <c r="H20" s="1">
        <v>52519</v>
      </c>
      <c r="I20" s="1" t="s">
        <v>96</v>
      </c>
      <c r="J20" s="2">
        <v>100000019653855</v>
      </c>
      <c r="K20" s="1" t="s">
        <v>484</v>
      </c>
      <c r="L20" s="2"/>
      <c r="M20" s="2"/>
    </row>
    <row r="21" spans="1:13" s="1" customFormat="1">
      <c r="A21" s="49"/>
      <c r="B21" s="49" t="s">
        <v>430</v>
      </c>
      <c r="C21" s="15" t="s">
        <v>588</v>
      </c>
      <c r="D21" s="1" t="s">
        <v>589</v>
      </c>
      <c r="E21" s="18"/>
      <c r="F21" s="18">
        <v>100</v>
      </c>
      <c r="G21" s="1" t="s">
        <v>455</v>
      </c>
      <c r="H21" s="1">
        <v>52519</v>
      </c>
      <c r="I21" s="1" t="s">
        <v>96</v>
      </c>
      <c r="J21" s="2">
        <v>100000019653855</v>
      </c>
      <c r="K21" s="1" t="s">
        <v>485</v>
      </c>
      <c r="L21" s="2"/>
      <c r="M21" s="2"/>
    </row>
    <row r="22" spans="1:13" s="1" customFormat="1">
      <c r="A22" s="49"/>
      <c r="B22" s="49" t="s">
        <v>430</v>
      </c>
      <c r="C22" s="15" t="s">
        <v>588</v>
      </c>
      <c r="D22" s="1" t="s">
        <v>589</v>
      </c>
      <c r="E22" s="18"/>
      <c r="F22" s="18">
        <v>100</v>
      </c>
      <c r="G22" s="1" t="s">
        <v>455</v>
      </c>
      <c r="H22" s="1">
        <v>52519</v>
      </c>
      <c r="I22" s="1" t="s">
        <v>96</v>
      </c>
      <c r="J22" s="2">
        <v>100000019653855</v>
      </c>
      <c r="K22" s="1" t="s">
        <v>486</v>
      </c>
      <c r="L22" s="2"/>
      <c r="M22" s="2"/>
    </row>
    <row r="23" spans="1:13" s="1" customFormat="1">
      <c r="A23" s="49"/>
      <c r="B23" s="49" t="s">
        <v>430</v>
      </c>
      <c r="C23" s="15" t="s">
        <v>588</v>
      </c>
      <c r="D23" s="1" t="s">
        <v>589</v>
      </c>
      <c r="E23" s="18"/>
      <c r="F23" s="18">
        <v>100</v>
      </c>
      <c r="G23" s="1" t="s">
        <v>455</v>
      </c>
      <c r="H23" s="1">
        <v>52519</v>
      </c>
      <c r="I23" s="1" t="s">
        <v>96</v>
      </c>
      <c r="J23" s="2">
        <v>100000019653855</v>
      </c>
      <c r="K23" s="1" t="s">
        <v>487</v>
      </c>
      <c r="L23" s="2"/>
      <c r="M23" s="2"/>
    </row>
    <row r="24" spans="1:13" s="1" customFormat="1">
      <c r="A24" s="49"/>
      <c r="B24" s="49" t="s">
        <v>430</v>
      </c>
      <c r="C24" s="15" t="s">
        <v>588</v>
      </c>
      <c r="D24" s="1" t="s">
        <v>589</v>
      </c>
      <c r="E24" s="18"/>
      <c r="F24" s="18">
        <v>100</v>
      </c>
      <c r="G24" s="1" t="s">
        <v>455</v>
      </c>
      <c r="H24" s="1">
        <v>52519</v>
      </c>
      <c r="I24" s="1" t="s">
        <v>96</v>
      </c>
      <c r="J24" s="2">
        <v>100000019653855</v>
      </c>
      <c r="K24" s="1" t="s">
        <v>488</v>
      </c>
      <c r="L24" s="2"/>
      <c r="M24" s="2"/>
    </row>
    <row r="25" spans="1:13" s="1" customFormat="1">
      <c r="A25" s="49"/>
      <c r="B25" s="49" t="s">
        <v>430</v>
      </c>
      <c r="C25" s="15" t="s">
        <v>588</v>
      </c>
      <c r="D25" s="1" t="s">
        <v>589</v>
      </c>
      <c r="E25" s="18"/>
      <c r="F25" s="18">
        <v>100</v>
      </c>
      <c r="G25" s="1" t="s">
        <v>455</v>
      </c>
      <c r="H25" s="1">
        <v>52519</v>
      </c>
      <c r="I25" s="1" t="s">
        <v>96</v>
      </c>
      <c r="J25" s="2">
        <v>100000019653855</v>
      </c>
      <c r="K25" s="1" t="s">
        <v>489</v>
      </c>
      <c r="L25" s="2"/>
      <c r="M25" s="2"/>
    </row>
    <row r="26" spans="1:13" s="1" customFormat="1">
      <c r="A26" s="49"/>
      <c r="B26" s="49" t="s">
        <v>430</v>
      </c>
      <c r="C26" s="15" t="s">
        <v>588</v>
      </c>
      <c r="D26" s="1" t="s">
        <v>589</v>
      </c>
      <c r="E26" s="18"/>
      <c r="F26" s="18">
        <v>100</v>
      </c>
      <c r="G26" s="1" t="s">
        <v>455</v>
      </c>
      <c r="H26" s="1">
        <v>52519</v>
      </c>
      <c r="I26" s="1" t="s">
        <v>96</v>
      </c>
      <c r="J26" s="2">
        <v>100000019653855</v>
      </c>
      <c r="K26" s="1" t="s">
        <v>490</v>
      </c>
      <c r="L26" s="2"/>
      <c r="M26" s="2"/>
    </row>
    <row r="27" spans="1:13" s="1" customFormat="1">
      <c r="A27" s="49"/>
      <c r="B27" s="49" t="s">
        <v>430</v>
      </c>
      <c r="C27" s="15" t="s">
        <v>588</v>
      </c>
      <c r="D27" s="1" t="s">
        <v>589</v>
      </c>
      <c r="E27" s="18"/>
      <c r="F27" s="18">
        <v>100</v>
      </c>
      <c r="G27" s="1" t="s">
        <v>455</v>
      </c>
      <c r="H27" s="1">
        <v>52519</v>
      </c>
      <c r="I27" s="1" t="s">
        <v>96</v>
      </c>
      <c r="J27" s="2">
        <v>100000019653855</v>
      </c>
      <c r="K27" s="1" t="s">
        <v>491</v>
      </c>
      <c r="L27" s="2"/>
      <c r="M27" s="2"/>
    </row>
    <row r="28" spans="1:13" s="1" customFormat="1">
      <c r="A28" s="49"/>
      <c r="B28" s="49" t="s">
        <v>430</v>
      </c>
      <c r="C28" s="15" t="s">
        <v>588</v>
      </c>
      <c r="D28" s="1" t="s">
        <v>589</v>
      </c>
      <c r="E28" s="18"/>
      <c r="F28" s="18">
        <v>100</v>
      </c>
      <c r="G28" s="1" t="s">
        <v>455</v>
      </c>
      <c r="H28" s="1">
        <v>52519</v>
      </c>
      <c r="I28" s="1" t="s">
        <v>96</v>
      </c>
      <c r="J28" s="2">
        <v>100000019653855</v>
      </c>
      <c r="K28" s="1" t="s">
        <v>492</v>
      </c>
      <c r="L28" s="2"/>
      <c r="M28" s="2"/>
    </row>
    <row r="29" spans="1:13" s="1" customFormat="1">
      <c r="A29" s="49"/>
      <c r="B29" s="49" t="s">
        <v>430</v>
      </c>
      <c r="C29" s="15" t="s">
        <v>588</v>
      </c>
      <c r="D29" s="1" t="s">
        <v>589</v>
      </c>
      <c r="E29" s="18"/>
      <c r="F29" s="18">
        <v>100</v>
      </c>
      <c r="G29" s="1" t="s">
        <v>455</v>
      </c>
      <c r="H29" s="1">
        <v>52519</v>
      </c>
      <c r="I29" s="1" t="s">
        <v>96</v>
      </c>
      <c r="J29" s="2">
        <v>100000019653855</v>
      </c>
      <c r="K29" s="1" t="s">
        <v>493</v>
      </c>
      <c r="L29" s="2"/>
      <c r="M29" s="2"/>
    </row>
    <row r="30" spans="1:13" s="1" customFormat="1">
      <c r="A30" s="49"/>
      <c r="B30" s="49" t="s">
        <v>430</v>
      </c>
      <c r="C30" s="15" t="s">
        <v>588</v>
      </c>
      <c r="D30" s="1" t="s">
        <v>589</v>
      </c>
      <c r="E30" s="18"/>
      <c r="F30" s="18">
        <v>100</v>
      </c>
      <c r="G30" s="1" t="s">
        <v>455</v>
      </c>
      <c r="H30" s="1">
        <v>52519</v>
      </c>
      <c r="I30" s="1" t="s">
        <v>96</v>
      </c>
      <c r="J30" s="2">
        <v>100000019653855</v>
      </c>
      <c r="K30" s="1" t="s">
        <v>494</v>
      </c>
      <c r="L30" s="2"/>
      <c r="M30" s="2"/>
    </row>
    <row r="31" spans="1:13" s="1" customFormat="1">
      <c r="A31" s="49"/>
      <c r="B31" s="49" t="s">
        <v>430</v>
      </c>
      <c r="C31" s="15" t="s">
        <v>588</v>
      </c>
      <c r="D31" s="1" t="s">
        <v>589</v>
      </c>
      <c r="E31" s="18"/>
      <c r="F31" s="18">
        <v>100</v>
      </c>
      <c r="G31" s="1" t="s">
        <v>455</v>
      </c>
      <c r="H31" s="1">
        <v>52519</v>
      </c>
      <c r="I31" s="1" t="s">
        <v>96</v>
      </c>
      <c r="J31" s="2">
        <v>100000019653855</v>
      </c>
      <c r="K31" s="1" t="s">
        <v>495</v>
      </c>
      <c r="L31" s="2"/>
      <c r="M31" s="2"/>
    </row>
    <row r="32" spans="1:13" s="1" customFormat="1">
      <c r="A32" s="49"/>
      <c r="B32" s="49" t="s">
        <v>430</v>
      </c>
      <c r="C32" s="15" t="s">
        <v>588</v>
      </c>
      <c r="D32" s="1" t="s">
        <v>589</v>
      </c>
      <c r="E32" s="18"/>
      <c r="F32" s="18">
        <v>100</v>
      </c>
      <c r="G32" s="1" t="s">
        <v>455</v>
      </c>
      <c r="H32" s="1">
        <v>52519</v>
      </c>
      <c r="I32" s="1" t="s">
        <v>96</v>
      </c>
      <c r="J32" s="2">
        <v>100000019653855</v>
      </c>
      <c r="K32" s="1" t="s">
        <v>496</v>
      </c>
      <c r="L32" s="2"/>
      <c r="M32" s="2"/>
    </row>
    <row r="33" spans="1:22" s="1" customFormat="1">
      <c r="A33" s="49"/>
      <c r="B33" s="49" t="s">
        <v>430</v>
      </c>
      <c r="C33" s="15" t="s">
        <v>588</v>
      </c>
      <c r="D33" s="1" t="s">
        <v>589</v>
      </c>
      <c r="E33" s="18"/>
      <c r="F33" s="18">
        <v>100</v>
      </c>
      <c r="G33" s="1" t="s">
        <v>455</v>
      </c>
      <c r="H33" s="1">
        <v>52519</v>
      </c>
      <c r="I33" s="1" t="s">
        <v>96</v>
      </c>
      <c r="J33" s="2">
        <v>100000019653855</v>
      </c>
      <c r="K33" s="1" t="s">
        <v>497</v>
      </c>
      <c r="L33" s="2"/>
      <c r="M33" s="2"/>
    </row>
    <row r="34" spans="1:22" s="1" customFormat="1">
      <c r="A34" s="49"/>
      <c r="B34" s="49" t="s">
        <v>430</v>
      </c>
      <c r="C34" s="15" t="s">
        <v>588</v>
      </c>
      <c r="D34" s="1" t="s">
        <v>589</v>
      </c>
      <c r="E34" s="18"/>
      <c r="F34" s="18">
        <v>100</v>
      </c>
      <c r="G34" s="1" t="s">
        <v>455</v>
      </c>
      <c r="H34" s="1">
        <v>52519</v>
      </c>
      <c r="I34" s="1" t="s">
        <v>96</v>
      </c>
      <c r="J34" s="2">
        <v>100000019653855</v>
      </c>
      <c r="K34" s="1" t="s">
        <v>498</v>
      </c>
      <c r="L34" s="2"/>
      <c r="M34" s="2"/>
    </row>
    <row r="35" spans="1:22" s="35" customFormat="1">
      <c r="A35" s="34"/>
      <c r="B35" s="49" t="s">
        <v>430</v>
      </c>
      <c r="C35" s="37" t="s">
        <v>588</v>
      </c>
      <c r="D35" s="35" t="s">
        <v>590</v>
      </c>
      <c r="F35" s="40">
        <v>70</v>
      </c>
      <c r="G35" s="35" t="s">
        <v>426</v>
      </c>
      <c r="H35" s="35" t="s">
        <v>499</v>
      </c>
      <c r="I35" s="35" t="s">
        <v>503</v>
      </c>
      <c r="J35" s="35">
        <v>3</v>
      </c>
      <c r="K35" s="35">
        <v>4</v>
      </c>
      <c r="L35" s="35">
        <v>5</v>
      </c>
      <c r="M35" s="35">
        <v>6</v>
      </c>
      <c r="N35" s="35">
        <v>7</v>
      </c>
      <c r="O35" s="35">
        <v>8</v>
      </c>
      <c r="P35" s="35">
        <v>9</v>
      </c>
      <c r="Q35" s="35">
        <v>10</v>
      </c>
      <c r="R35" s="35">
        <v>11</v>
      </c>
      <c r="S35" s="35">
        <v>12</v>
      </c>
      <c r="T35" s="35">
        <v>13</v>
      </c>
      <c r="U35" s="35">
        <v>14</v>
      </c>
      <c r="V35" s="35">
        <v>15</v>
      </c>
    </row>
    <row r="36" spans="1:22" s="35" customFormat="1">
      <c r="A36" s="34"/>
      <c r="B36" s="49" t="s">
        <v>430</v>
      </c>
      <c r="C36" s="37">
        <v>10101</v>
      </c>
      <c r="D36" s="35" t="s">
        <v>590</v>
      </c>
      <c r="F36" s="40">
        <v>30</v>
      </c>
      <c r="G36" s="35" t="s">
        <v>426</v>
      </c>
      <c r="H36" s="35" t="s">
        <v>499</v>
      </c>
      <c r="I36" s="35" t="s">
        <v>503</v>
      </c>
      <c r="J36" s="35">
        <v>3</v>
      </c>
      <c r="K36" s="35">
        <v>4</v>
      </c>
      <c r="L36" s="35">
        <v>5</v>
      </c>
      <c r="M36" s="35">
        <v>6</v>
      </c>
      <c r="N36" s="35">
        <v>7</v>
      </c>
      <c r="O36" s="35">
        <v>8</v>
      </c>
      <c r="P36" s="35">
        <v>9</v>
      </c>
      <c r="Q36" s="35">
        <v>10</v>
      </c>
      <c r="R36" s="35">
        <v>11</v>
      </c>
      <c r="S36" s="35">
        <v>12</v>
      </c>
      <c r="T36" s="35">
        <v>13</v>
      </c>
      <c r="U36" s="35">
        <v>14</v>
      </c>
      <c r="V36" s="35">
        <v>15</v>
      </c>
    </row>
    <row r="37" spans="1:22">
      <c r="A37" s="36"/>
    </row>
    <row r="38" spans="1:22">
      <c r="A38" s="34"/>
    </row>
    <row r="39" spans="1:22">
      <c r="A39" s="34"/>
    </row>
    <row r="40" spans="1:22">
      <c r="A40" s="34"/>
    </row>
    <row r="41" spans="1:22">
      <c r="A41" s="36"/>
    </row>
    <row r="42" spans="1:22">
      <c r="A42" s="36"/>
    </row>
    <row r="43" spans="1:22">
      <c r="A43" s="34"/>
    </row>
    <row r="44" spans="1:22">
      <c r="A44" s="34"/>
    </row>
    <row r="45" spans="1:22">
      <c r="A45" s="34"/>
    </row>
    <row r="46" spans="1:22">
      <c r="A46" s="34"/>
    </row>
    <row r="47" spans="1:22">
      <c r="A47" s="34"/>
    </row>
    <row r="48" spans="1:22">
      <c r="A48" s="34"/>
    </row>
    <row r="57" spans="1:1">
      <c r="A57" s="36"/>
    </row>
    <row r="58" spans="1:1">
      <c r="A58" s="36"/>
    </row>
    <row r="59" spans="1:1">
      <c r="A59" s="34"/>
    </row>
    <row r="60" spans="1:1">
      <c r="A60" s="36"/>
    </row>
    <row r="61" spans="1:1">
      <c r="A61" s="36"/>
    </row>
    <row r="62" spans="1:1">
      <c r="A62" s="34"/>
    </row>
    <row r="63" spans="1:1">
      <c r="A63" s="34"/>
    </row>
    <row r="64" spans="1:1">
      <c r="A64" s="34"/>
    </row>
  </sheetData>
  <phoneticPr fontId="27" type="noConversion"/>
  <dataValidations count="6">
    <dataValidation allowBlank="1" showInputMessage="1" errorTitle="Invalid Value" error="Value is invalid for this file. Enter a valid value." sqref="B1:B3 A1"/>
    <dataValidation type="list" allowBlank="1" showInputMessage="1" showErrorMessage="1" errorTitle="Invalid Value" sqref="D5:D1048576">
      <formula1>"Quota Sales Credit,Non-quota Sales Credit"</formula1>
    </dataValidation>
    <dataValidation type="whole" operator="greaterThan" allowBlank="1" showInputMessage="1" showErrorMessage="1" sqref="N1:N3">
      <formula1>0</formula1>
    </dataValidation>
    <dataValidation type="textLength" allowBlank="1" showInputMessage="1" showErrorMessage="1" sqref="E1:E3">
      <formula1>1</formula1>
      <formula2>80</formula2>
    </dataValidation>
    <dataValidation type="textLength" allowBlank="1" showInputMessage="1" showErrorMessage="1" sqref="C1:C3">
      <formula1>1</formula1>
      <formula2>30</formula2>
    </dataValidation>
    <dataValidation allowBlank="1" showInputMessage="1" errorTitle="Invalid Value" sqref="D1:D4"/>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P64"/>
  <sheetViews>
    <sheetView topLeftCell="B1" workbookViewId="0"/>
  </sheetViews>
  <sheetFormatPr defaultColWidth="9.109375" defaultRowHeight="14.4"/>
  <cols>
    <col min="1" max="1" width="22.6640625" style="49" hidden="1" customWidth="1"/>
    <col min="2" max="2" width="77.109375" style="29" bestFit="1" customWidth="1"/>
    <col min="3" max="3" width="17.88671875" style="21" bestFit="1" customWidth="1"/>
    <col min="4" max="4" width="23.109375" style="29" hidden="1" customWidth="1"/>
    <col min="5" max="5" width="20" style="29" bestFit="1" customWidth="1"/>
    <col min="6" max="6" width="27.6640625" style="27" bestFit="1" customWidth="1"/>
    <col min="7" max="7" width="27.88671875" style="28" bestFit="1" customWidth="1"/>
    <col min="8" max="8" width="33.5546875" style="21" bestFit="1" customWidth="1"/>
    <col min="9" max="12" width="36.33203125" style="21" bestFit="1" customWidth="1"/>
    <col min="13" max="14" width="36.33203125" style="29" bestFit="1" customWidth="1"/>
    <col min="15" max="17" width="36.33203125" style="21" bestFit="1" customWidth="1"/>
    <col min="18" max="23" width="37.44140625" style="21" bestFit="1" customWidth="1"/>
    <col min="24" max="24" width="15" style="21" bestFit="1" customWidth="1"/>
    <col min="25" max="25" width="13.6640625" style="29" bestFit="1" customWidth="1"/>
    <col min="26" max="26" width="33.88671875" style="27" bestFit="1" customWidth="1"/>
    <col min="27" max="27" width="38.6640625" style="21" bestFit="1" customWidth="1"/>
    <col min="28" max="36" width="30.44140625" style="21" bestFit="1" customWidth="1"/>
    <col min="37" max="42" width="31.5546875" style="21" bestFit="1" customWidth="1"/>
    <col min="43" max="16384" width="9.109375" style="21"/>
  </cols>
  <sheetData>
    <row r="1" spans="1:42" s="20" customFormat="1" ht="5.0999999999999996" customHeight="1">
      <c r="A1" s="41"/>
      <c r="F1" s="22"/>
      <c r="G1" s="23"/>
      <c r="U1" s="23"/>
      <c r="Y1" s="23"/>
      <c r="Z1" s="22"/>
    </row>
    <row r="2" spans="1:42" s="20" customFormat="1" ht="18" customHeight="1">
      <c r="B2" s="24" t="s">
        <v>185</v>
      </c>
      <c r="F2" s="22"/>
      <c r="G2" s="23"/>
      <c r="U2" s="23"/>
      <c r="Y2" s="23"/>
      <c r="Z2" s="22"/>
    </row>
    <row r="3" spans="1:42" s="20" customFormat="1" ht="18" customHeight="1">
      <c r="B3" s="25" t="s">
        <v>179</v>
      </c>
      <c r="D3" s="26"/>
      <c r="E3" s="26"/>
      <c r="F3" s="22"/>
      <c r="G3" s="23"/>
      <c r="U3" s="23"/>
      <c r="Y3" s="23"/>
      <c r="Z3" s="22"/>
    </row>
    <row r="4" spans="1:42" s="12" customFormat="1" ht="17.25" customHeight="1">
      <c r="A4" s="12" t="s">
        <v>443</v>
      </c>
      <c r="B4" s="12" t="s">
        <v>428</v>
      </c>
      <c r="C4" s="12" t="s">
        <v>165</v>
      </c>
      <c r="D4" s="12" t="s">
        <v>444</v>
      </c>
      <c r="E4" s="12" t="s">
        <v>429</v>
      </c>
      <c r="F4" s="16" t="s">
        <v>166</v>
      </c>
      <c r="G4" s="17" t="s">
        <v>167</v>
      </c>
      <c r="H4" s="12" t="s">
        <v>228</v>
      </c>
      <c r="I4" s="12" t="s">
        <v>229</v>
      </c>
      <c r="J4" s="12" t="s">
        <v>230</v>
      </c>
      <c r="K4" s="12" t="s">
        <v>231</v>
      </c>
      <c r="L4" s="12" t="s">
        <v>232</v>
      </c>
      <c r="M4" s="12" t="s">
        <v>233</v>
      </c>
      <c r="N4" s="12" t="s">
        <v>234</v>
      </c>
      <c r="O4" s="12" t="s">
        <v>235</v>
      </c>
      <c r="P4" s="12" t="s">
        <v>236</v>
      </c>
      <c r="Q4" s="12" t="s">
        <v>237</v>
      </c>
      <c r="R4" s="12" t="s">
        <v>238</v>
      </c>
      <c r="S4" s="12" t="s">
        <v>239</v>
      </c>
      <c r="T4" s="12" t="s">
        <v>240</v>
      </c>
      <c r="U4" s="12" t="s">
        <v>241</v>
      </c>
      <c r="V4" s="12" t="s">
        <v>242</v>
      </c>
      <c r="W4" s="12" t="s">
        <v>243</v>
      </c>
      <c r="X4" s="12" t="s">
        <v>168</v>
      </c>
      <c r="Y4" s="17" t="s">
        <v>169</v>
      </c>
      <c r="Z4" s="16" t="s">
        <v>170</v>
      </c>
      <c r="AA4" s="12" t="s">
        <v>173</v>
      </c>
      <c r="AB4" s="12" t="s">
        <v>76</v>
      </c>
      <c r="AC4" s="12" t="s">
        <v>77</v>
      </c>
      <c r="AD4" s="12" t="s">
        <v>78</v>
      </c>
      <c r="AE4" s="12" t="s">
        <v>79</v>
      </c>
      <c r="AF4" s="12" t="s">
        <v>80</v>
      </c>
      <c r="AG4" s="12" t="s">
        <v>81</v>
      </c>
      <c r="AH4" s="12" t="s">
        <v>82</v>
      </c>
      <c r="AI4" s="12" t="s">
        <v>83</v>
      </c>
      <c r="AJ4" s="12" t="s">
        <v>84</v>
      </c>
      <c r="AK4" s="12" t="s">
        <v>85</v>
      </c>
      <c r="AL4" s="12" t="s">
        <v>86</v>
      </c>
      <c r="AM4" s="12" t="s">
        <v>87</v>
      </c>
      <c r="AN4" s="12" t="s">
        <v>88</v>
      </c>
      <c r="AO4" s="12" t="s">
        <v>89</v>
      </c>
      <c r="AP4" s="12" t="s">
        <v>90</v>
      </c>
    </row>
    <row r="5" spans="1:42">
      <c r="A5" s="49" t="str">
        <f>""</f>
        <v/>
      </c>
      <c r="B5" s="49" t="s">
        <v>430</v>
      </c>
      <c r="C5" s="21">
        <v>5</v>
      </c>
      <c r="E5" s="29" t="s">
        <v>591</v>
      </c>
      <c r="H5" s="21" t="s">
        <v>455</v>
      </c>
      <c r="I5" s="21">
        <v>52519</v>
      </c>
      <c r="J5" s="21" t="s">
        <v>96</v>
      </c>
      <c r="K5" s="29">
        <v>100000019653855</v>
      </c>
      <c r="L5" s="21" t="s">
        <v>224</v>
      </c>
    </row>
    <row r="6" spans="1:42">
      <c r="B6" s="49" t="s">
        <v>430</v>
      </c>
      <c r="C6" s="21">
        <v>3</v>
      </c>
      <c r="E6" s="29" t="s">
        <v>592</v>
      </c>
      <c r="H6" s="21" t="s">
        <v>455</v>
      </c>
      <c r="I6" s="21">
        <v>52519</v>
      </c>
      <c r="J6" s="21" t="s">
        <v>96</v>
      </c>
      <c r="K6" s="29">
        <v>100000019653855</v>
      </c>
      <c r="L6" s="21" t="s">
        <v>458</v>
      </c>
    </row>
    <row r="7" spans="1:42">
      <c r="B7" s="49" t="s">
        <v>430</v>
      </c>
      <c r="C7" s="21">
        <v>4</v>
      </c>
      <c r="E7" s="29" t="s">
        <v>593</v>
      </c>
      <c r="H7" s="21" t="s">
        <v>455</v>
      </c>
      <c r="I7" s="21">
        <v>52519</v>
      </c>
      <c r="J7" s="21" t="s">
        <v>96</v>
      </c>
      <c r="K7" s="29">
        <v>100000019653855</v>
      </c>
      <c r="L7" s="21" t="s">
        <v>460</v>
      </c>
    </row>
    <row r="8" spans="1:42">
      <c r="B8" s="49" t="s">
        <v>430</v>
      </c>
      <c r="C8" s="21">
        <v>8</v>
      </c>
      <c r="E8" s="29" t="s">
        <v>594</v>
      </c>
      <c r="G8" s="28">
        <v>30</v>
      </c>
      <c r="H8" s="21" t="s">
        <v>455</v>
      </c>
      <c r="I8" s="21">
        <v>52519</v>
      </c>
      <c r="J8" s="21" t="s">
        <v>96</v>
      </c>
      <c r="K8" s="29">
        <v>100000019653855</v>
      </c>
      <c r="L8" s="21" t="s">
        <v>462</v>
      </c>
    </row>
    <row r="9" spans="1:42">
      <c r="B9" s="49" t="s">
        <v>430</v>
      </c>
      <c r="C9" s="21">
        <v>7</v>
      </c>
      <c r="E9" s="29" t="s">
        <v>595</v>
      </c>
      <c r="F9" s="27">
        <v>41100</v>
      </c>
      <c r="H9" s="21" t="s">
        <v>455</v>
      </c>
      <c r="I9" s="21">
        <v>52519</v>
      </c>
      <c r="J9" s="21" t="s">
        <v>96</v>
      </c>
      <c r="K9" s="29">
        <v>100000019653855</v>
      </c>
      <c r="L9" s="21" t="s">
        <v>464</v>
      </c>
    </row>
    <row r="35" spans="1:1">
      <c r="A35" s="34"/>
    </row>
    <row r="36" spans="1:1">
      <c r="A36" s="34"/>
    </row>
    <row r="37" spans="1:1">
      <c r="A37" s="36"/>
    </row>
    <row r="38" spans="1:1">
      <c r="A38" s="34"/>
    </row>
    <row r="39" spans="1:1">
      <c r="A39" s="34"/>
    </row>
    <row r="40" spans="1:1">
      <c r="A40" s="34"/>
    </row>
    <row r="41" spans="1:1">
      <c r="A41" s="36"/>
    </row>
    <row r="42" spans="1:1">
      <c r="A42" s="36"/>
    </row>
    <row r="43" spans="1:1">
      <c r="A43" s="34"/>
    </row>
    <row r="44" spans="1:1">
      <c r="A44" s="34"/>
    </row>
    <row r="45" spans="1:1">
      <c r="A45" s="34"/>
    </row>
    <row r="46" spans="1:1">
      <c r="A46" s="34"/>
    </row>
    <row r="47" spans="1:1">
      <c r="A47" s="34"/>
    </row>
    <row r="48" spans="1:1">
      <c r="A48" s="34"/>
    </row>
    <row r="57" spans="1:1">
      <c r="A57" s="36"/>
    </row>
    <row r="58" spans="1:1">
      <c r="A58" s="36"/>
    </row>
    <row r="59" spans="1:1">
      <c r="A59" s="34"/>
    </row>
    <row r="60" spans="1:1">
      <c r="A60" s="36"/>
    </row>
    <row r="61" spans="1:1">
      <c r="A61" s="36"/>
    </row>
    <row r="62" spans="1:1">
      <c r="A62" s="34"/>
    </row>
    <row r="63" spans="1:1">
      <c r="A63" s="34"/>
    </row>
    <row r="64" spans="1:1">
      <c r="A64" s="34"/>
    </row>
  </sheetData>
  <dataConsolidate/>
  <phoneticPr fontId="27" type="noConversion"/>
  <dataValidations count="6">
    <dataValidation allowBlank="1" showInputMessage="1" errorTitle="Invalid Value" error="Value is invalid for this file. Enter a valid value." sqref="B1:B3 A1"/>
    <dataValidation type="list" allowBlank="1" showInputMessage="1" showErrorMessage="1" errorTitle="Invalid value" error="Value entered is invalid. Enter valid value." sqref="X5:X1048576">
      <formula1>"Y,N"</formula1>
    </dataValidation>
    <dataValidation type="textLength" allowBlank="1" showInputMessage="1" showErrorMessage="1" sqref="F1:F3">
      <formula1>1</formula1>
      <formula2>80</formula2>
    </dataValidation>
    <dataValidation type="whole" operator="greaterThan" allowBlank="1" showInputMessage="1" showErrorMessage="1" sqref="O1:O3">
      <formula1>0</formula1>
    </dataValidation>
    <dataValidation type="textLength" allowBlank="1" showInputMessage="1" showErrorMessage="1" sqref="C1:C3">
      <formula1>1</formula1>
      <formula2>30</formula2>
    </dataValidation>
    <dataValidation type="textLength" allowBlank="1" showInputMessage="1" showErrorMessage="1" sqref="E1:E3 D1:D3">
      <formula1>1</formula1>
      <formula2>15</formula2>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Instructions and CSV Generation</vt:lpstr>
      <vt:lpstr>RA_INTERFACE_LINES_ALL</vt:lpstr>
      <vt:lpstr>RA_INTERFACE_DISTRIBUTIONS_ALL</vt:lpstr>
      <vt:lpstr>RA_INTERFACE_SALESCREDITS_ALL</vt:lpstr>
      <vt:lpstr>AR_INTERFACE_CONTS_ALL</vt:lpstr>
      <vt:lpstr>CHAR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2015-02-17T14:05:23Z</dcterms:created>
  <dcterms:modified xsi:type="dcterms:W3CDTF">2020-03-30T05:37:54Z</dcterms:modified>
</cp:coreProperties>
</file>